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ky\Music\Documents\MIS Reports\"/>
    </mc:Choice>
  </mc:AlternateContent>
  <xr:revisionPtr revIDLastSave="0" documentId="13_ncr:1_{805E15B1-E629-4391-8764-CC8A6C213085}" xr6:coauthVersionLast="47" xr6:coauthVersionMax="47" xr10:uidLastSave="{00000000-0000-0000-0000-000000000000}"/>
  <bookViews>
    <workbookView xWindow="-108" yWindow="-108" windowWidth="23256" windowHeight="13176" firstSheet="1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_xlnm._FilterDatabase" localSheetId="3" hidden="1">Summary!$C$1:$C$150</definedName>
    <definedName name="breakD">Break!$A:$I</definedName>
    <definedName name="effD">Efficiency!$A:$Q</definedName>
    <definedName name="performD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A1" i="4" l="1"/>
</calcChain>
</file>

<file path=xl/sharedStrings.xml><?xml version="1.0" encoding="utf-8"?>
<sst xmlns="http://schemas.openxmlformats.org/spreadsheetml/2006/main" count="2741" uniqueCount="1153">
  <si>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</si>
  <si>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</si>
  <si>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</si>
  <si>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</si>
  <si>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</si>
  <si>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</si>
  <si>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</si>
  <si>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</si>
  <si>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</si>
  <si>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</si>
  <si>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</si>
  <si>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</si>
  <si>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</si>
  <si>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</si>
  <si>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</si>
  <si>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</si>
  <si>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</si>
  <si>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</si>
  <si>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</si>
  <si>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</si>
  <si>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</si>
  <si>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</si>
  <si>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</si>
  <si>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</si>
  <si>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</si>
  <si>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</si>
  <si>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</si>
  <si>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</si>
  <si>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</si>
  <si>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</si>
  <si>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</si>
  <si>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</si>
  <si>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</si>
  <si>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</si>
  <si>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</si>
  <si>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</si>
  <si>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</si>
  <si>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</si>
  <si>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</si>
  <si>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</si>
  <si>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</si>
  <si>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</si>
  <si>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</si>
  <si>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</si>
  <si>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</si>
  <si>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</si>
  <si>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</si>
  <si>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</si>
  <si>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</si>
  <si>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</si>
  <si>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</si>
  <si>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</si>
  <si>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</si>
  <si>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</si>
  <si>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</si>
  <si>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</si>
  <si>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</si>
  <si>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</si>
  <si>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</si>
  <si>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</si>
  <si>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</si>
  <si>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</si>
  <si>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</si>
  <si>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</si>
  <si>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</si>
  <si>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</si>
  <si>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</si>
  <si>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</si>
  <si>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</si>
  <si>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</si>
  <si>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</si>
  <si>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</si>
  <si>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</si>
  <si>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</si>
  <si>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</si>
  <si>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</si>
  <si>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</si>
  <si>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</si>
  <si>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</si>
  <si>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</si>
  <si>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</si>
  <si>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</si>
  <si>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</si>
  <si>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</si>
  <si>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</si>
  <si>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</si>
  <si>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</si>
  <si>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</si>
  <si>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</si>
  <si>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</si>
  <si>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</si>
  <si>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</si>
  <si>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</si>
  <si>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</si>
  <si>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</si>
  <si>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</si>
  <si>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</si>
  <si>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</si>
  <si>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</si>
  <si>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</si>
  <si>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</si>
  <si>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</si>
  <si>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</si>
  <si>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</si>
  <si>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</si>
  <si>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</si>
  <si>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</si>
  <si>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</si>
  <si>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</si>
  <si>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</si>
  <si>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</si>
  <si>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</si>
  <si>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</si>
  <si>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</si>
  <si>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</si>
  <si>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</si>
  <si>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</si>
  <si>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</si>
  <si>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</si>
  <si>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</si>
  <si>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</si>
  <si>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</si>
  <si>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</si>
  <si>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</si>
  <si>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</si>
  <si>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</si>
  <si>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</si>
  <si>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</si>
  <si>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</si>
  <si>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</si>
  <si>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</si>
  <si>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</si>
  <si>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</si>
  <si>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</si>
  <si>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</si>
  <si>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</si>
  <si>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</si>
  <si>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</si>
  <si>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</si>
  <si>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</si>
  <si>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</si>
  <si>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</si>
  <si>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</si>
  <si>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</si>
  <si>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</si>
  <si>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</si>
  <si>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</si>
  <si>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</si>
  <si>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</si>
  <si>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</si>
  <si>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</si>
  <si>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</si>
  <si>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</si>
  <si>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</si>
  <si>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</si>
  <si>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</si>
  <si>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</si>
  <si>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</si>
  <si>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</si>
  <si>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</si>
  <si>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</si>
  <si>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</si>
  <si>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</si>
  <si>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</si>
  <si>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</si>
  <si>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</si>
  <si>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</si>
  <si>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</si>
  <si>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</si>
  <si>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</si>
  <si>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</si>
  <si>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</si>
  <si>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</si>
  <si>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</si>
  <si>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</si>
  <si>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</si>
  <si>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</si>
  <si>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</si>
  <si>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</si>
  <si>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</si>
  <si>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</si>
  <si>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</si>
  <si>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</si>
  <si>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</si>
  <si>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</si>
  <si>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</si>
  <si>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</si>
  <si>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</si>
  <si>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</si>
  <si>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</si>
  <si>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</si>
  <si>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</si>
  <si>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</si>
  <si>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</si>
  <si>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</si>
  <si>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</si>
  <si>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</si>
  <si>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</si>
  <si>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</si>
  <si>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</si>
  <si>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</si>
  <si>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</si>
  <si>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</si>
  <si>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</si>
  <si>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</si>
  <si>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</si>
  <si>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</si>
  <si>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</si>
  <si>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</si>
  <si>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</si>
  <si>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</si>
  <si>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</si>
  <si>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</si>
  <si>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</si>
  <si>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</si>
  <si>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</si>
  <si>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</si>
  <si>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</si>
  <si>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</si>
  <si>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</si>
  <si>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</si>
  <si>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</si>
  <si>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</si>
  <si>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</si>
  <si>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</si>
  <si>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</si>
  <si>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</si>
  <si>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</si>
  <si>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</si>
  <si>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</si>
  <si>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</si>
  <si>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</si>
  <si>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</si>
  <si>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</si>
  <si>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</si>
  <si>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</si>
  <si>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</si>
  <si>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</si>
  <si>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</si>
  <si>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</si>
  <si>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</si>
  <si>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</si>
  <si>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</si>
  <si>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</si>
  <si>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</si>
  <si>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</si>
  <si>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</si>
  <si>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</si>
  <si>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</si>
  <si>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</si>
  <si>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</si>
  <si>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</si>
  <si>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</si>
  <si>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</si>
  <si>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</si>
  <si>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</si>
  <si>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</si>
  <si>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</si>
  <si>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</si>
  <si>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</si>
  <si>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</si>
  <si>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</si>
  <si>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</si>
  <si>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</si>
  <si>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</si>
  <si>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</si>
  <si>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</si>
  <si>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</si>
  <si>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</si>
  <si>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</si>
  <si>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</si>
  <si>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</si>
  <si>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</si>
  <si>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</si>
  <si>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</si>
  <si>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</si>
  <si>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</si>
  <si>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</si>
  <si>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</si>
  <si>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</si>
  <si>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</si>
  <si>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</si>
  <si>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</si>
  <si>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</si>
  <si>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</si>
  <si>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</si>
  <si>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</si>
  <si>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</si>
  <si>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</si>
  <si>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</si>
  <si>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</si>
  <si>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</si>
  <si>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</si>
  <si>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</si>
  <si>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</si>
  <si>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</si>
  <si>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</si>
  <si>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</si>
  <si>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</si>
  <si>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</si>
  <si>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</si>
  <si>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</si>
  <si>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</si>
  <si>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</si>
  <si>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</si>
  <si>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</si>
  <si>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</si>
  <si>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</si>
  <si>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</si>
  <si>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</si>
  <si>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</si>
  <si>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</si>
  <si>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</si>
  <si>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</si>
  <si>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</si>
  <si>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</si>
  <si>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</si>
  <si>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</si>
  <si>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</si>
  <si>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</si>
  <si>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</si>
  <si>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</si>
  <si>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</si>
  <si>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</si>
  <si>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</si>
  <si>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</si>
  <si>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</si>
  <si>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</si>
  <si>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</si>
  <si>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</si>
  <si>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</si>
  <si>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</si>
  <si>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</si>
  <si>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</si>
  <si>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</si>
  <si>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</si>
  <si>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</si>
  <si>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</si>
  <si>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</si>
  <si>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</si>
  <si>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</si>
  <si>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</si>
  <si>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</si>
  <si>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</si>
  <si>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</si>
  <si>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</si>
  <si>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</si>
  <si>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</si>
  <si>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</si>
  <si>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</si>
  <si>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</si>
  <si>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</si>
  <si>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</si>
  <si>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</si>
  <si>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</si>
  <si>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</si>
  <si>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</si>
  <si>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</si>
  <si>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</si>
  <si>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</si>
  <si>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</si>
  <si>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</si>
  <si>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</si>
  <si>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</si>
  <si>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</si>
  <si>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</si>
  <si>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</si>
  <si>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</si>
  <si>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</si>
  <si>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</si>
  <si>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</si>
  <si>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</si>
  <si>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</si>
  <si>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</si>
  <si>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</si>
  <si>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</si>
  <si>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</si>
  <si>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</si>
  <si>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</si>
  <si>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</si>
  <si>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</si>
  <si>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</si>
  <si>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</si>
  <si>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</si>
  <si>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</si>
  <si>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</si>
  <si>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</si>
  <si>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</si>
  <si>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</si>
  <si>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</si>
  <si>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</si>
  <si>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</si>
  <si>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</si>
  <si>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</si>
  <si>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</si>
  <si>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</si>
  <si>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</si>
  <si>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</si>
  <si>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</si>
  <si>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</si>
  <si>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</si>
  <si>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</si>
  <si>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</si>
  <si>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</si>
  <si>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</si>
  <si>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</si>
  <si>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</si>
  <si>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</si>
  <si>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</si>
  <si>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</si>
  <si>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</si>
  <si>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</si>
  <si>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</si>
  <si>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</si>
  <si>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</si>
  <si>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</si>
  <si>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</si>
  <si>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</si>
  <si>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</si>
  <si>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</si>
  <si>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</si>
  <si>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</si>
  <si>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</si>
  <si>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</si>
  <si>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</si>
  <si>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</si>
  <si>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</si>
  <si>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</si>
  <si>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</si>
  <si>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</si>
  <si>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</si>
  <si>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</si>
  <si>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</si>
  <si>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</si>
  <si>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</si>
  <si>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</si>
  <si>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</si>
  <si>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</si>
  <si>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</si>
  <si>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</si>
  <si>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</si>
  <si>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</si>
  <si>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</si>
  <si>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</si>
  <si>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</si>
  <si>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</si>
  <si>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</si>
  <si>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</si>
  <si>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</si>
  <si>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</si>
  <si>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</si>
  <si>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</si>
  <si>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</si>
  <si>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</si>
  <si>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</si>
  <si>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</si>
  <si>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</si>
  <si>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</si>
  <si>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</si>
  <si>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</si>
  <si>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</si>
  <si>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</si>
  <si>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</si>
  <si>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</si>
  <si>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</si>
  <si>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</si>
  <si>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</si>
  <si>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</si>
  <si>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</si>
  <si>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</si>
  <si>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</si>
  <si>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</si>
  <si>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</si>
  <si>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</si>
  <si>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</si>
  <si>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</si>
  <si>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</si>
  <si>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</si>
  <si>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</si>
  <si>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</si>
  <si>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</si>
  <si>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</si>
  <si>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</si>
  <si>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</si>
  <si>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</si>
  <si>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</si>
  <si>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</si>
  <si>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</si>
  <si>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</si>
  <si>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</si>
  <si>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</si>
  <si>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</si>
  <si>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</si>
  <si>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</si>
  <si>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</si>
  <si>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</si>
  <si>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</si>
  <si>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</si>
  <si>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</si>
  <si>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</si>
  <si>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</si>
  <si>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</si>
  <si>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</si>
  <si>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</si>
  <si>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</si>
  <si>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</si>
  <si>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</si>
  <si>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</si>
  <si>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</si>
  <si>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</si>
  <si>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</si>
  <si>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</si>
  <si>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</si>
  <si>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</si>
  <si>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</si>
  <si>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</si>
  <si>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</si>
  <si>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</si>
  <si>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</si>
  <si>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</si>
  <si>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</si>
  <si>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</si>
  <si>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</si>
  <si>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</si>
  <si>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</si>
  <si>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</si>
  <si>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</si>
  <si>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</si>
  <si>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</si>
  <si>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</si>
  <si>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</si>
  <si>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</si>
  <si>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</si>
  <si>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</si>
  <si>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</si>
  <si>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</si>
  <si>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</si>
  <si>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</si>
  <si>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</si>
  <si>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</si>
  <si>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</si>
  <si>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</si>
  <si>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</si>
  <si>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</si>
  <si>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</si>
  <si>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</si>
  <si>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</si>
  <si>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</si>
  <si>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</si>
  <si>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</si>
  <si>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</si>
  <si>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</si>
  <si>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</si>
  <si>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</si>
  <si>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</si>
  <si>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</si>
  <si>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</si>
  <si>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</si>
  <si>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</si>
  <si>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</si>
  <si>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</si>
  <si>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</si>
  <si>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</si>
  <si>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</si>
  <si>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</si>
  <si>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</si>
  <si>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</si>
  <si>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</si>
  <si>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</si>
  <si>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</si>
  <si>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</si>
  <si>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</si>
  <si>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</si>
  <si>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</si>
  <si>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</si>
  <si>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</si>
  <si>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</si>
  <si>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</si>
  <si>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</si>
  <si>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</si>
  <si>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</si>
  <si>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</si>
  <si>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</si>
  <si>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</si>
  <si>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</si>
  <si>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</si>
  <si>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</si>
  <si>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</si>
  <si>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</si>
  <si>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</si>
  <si>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</si>
  <si>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</si>
  <si>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</si>
  <si>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</si>
  <si>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</si>
  <si>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</si>
  <si>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</si>
  <si>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</si>
  <si>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</si>
  <si>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</si>
  <si>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</si>
  <si>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</si>
  <si>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</si>
  <si>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</si>
  <si>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</si>
  <si>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</si>
  <si>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</si>
  <si>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</si>
  <si>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</si>
  <si>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</si>
  <si>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</si>
  <si>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</si>
  <si>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</si>
  <si>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</si>
  <si>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</si>
  <si>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</si>
  <si>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</si>
  <si>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</si>
  <si>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</si>
  <si>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</si>
  <si>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</si>
  <si>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</si>
  <si>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</si>
  <si>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</si>
  <si>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</si>
  <si>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</si>
  <si>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</si>
  <si>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</si>
  <si>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</si>
  <si>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</si>
  <si>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</si>
  <si>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</si>
  <si>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</si>
  <si>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</si>
  <si>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</si>
  <si>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</si>
  <si>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</si>
  <si>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</si>
  <si>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</si>
  <si>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</si>
  <si>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</si>
  <si>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</si>
  <si>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</si>
  <si>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</si>
  <si>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</si>
  <si>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</si>
  <si>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</si>
  <si>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</si>
  <si>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</si>
  <si>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</si>
  <si>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</si>
  <si>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</si>
  <si>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</si>
  <si>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</si>
  <si>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</si>
  <si>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</si>
  <si>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</si>
  <si>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</si>
  <si>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</si>
  <si>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</si>
  <si>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</si>
  <si>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</si>
  <si>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</si>
  <si>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</si>
  <si>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</si>
  <si>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</si>
  <si>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</si>
  <si>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</si>
  <si>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</si>
  <si>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</si>
  <si>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</si>
  <si>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</si>
  <si>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</si>
  <si>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</si>
  <si>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</si>
  <si>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</si>
  <si>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</si>
  <si>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</si>
  <si>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</si>
  <si>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</si>
  <si>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</si>
  <si>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</si>
  <si>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</si>
  <si>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</si>
  <si>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</si>
  <si>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</si>
  <si>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</si>
  <si>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</si>
  <si>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</si>
  <si>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</si>
  <si>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</si>
  <si>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</si>
  <si>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</si>
  <si>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</si>
  <si>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</si>
  <si>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</si>
  <si>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</si>
  <si>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</si>
  <si>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</si>
  <si>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</si>
  <si>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</si>
  <si>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</si>
  <si>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</si>
  <si>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</si>
  <si>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</si>
  <si>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</si>
  <si>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</si>
  <si>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</si>
  <si>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</si>
  <si>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</si>
  <si>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</si>
  <si>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</si>
  <si>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</si>
  <si>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</si>
  <si>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</si>
  <si>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</si>
  <si>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</si>
  <si>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</si>
  <si>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</si>
  <si>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</si>
  <si>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</si>
  <si>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</si>
  <si>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</si>
  <si>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</si>
  <si>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</si>
  <si>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</si>
  <si>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</si>
  <si>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</si>
  <si>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</si>
  <si>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</si>
  <si>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</si>
  <si>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</si>
  <si>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</si>
  <si>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</si>
  <si>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</si>
  <si>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</si>
  <si>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</si>
  <si>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</si>
  <si>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</si>
  <si>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</si>
  <si>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</si>
  <si>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</si>
  <si>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</si>
  <si>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</si>
  <si>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</si>
  <si>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</si>
  <si>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</si>
  <si>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</si>
  <si>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</si>
  <si>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</si>
  <si>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</si>
  <si>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</si>
  <si>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</si>
  <si>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</si>
  <si>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</si>
  <si>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</si>
  <si>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</si>
  <si>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</si>
  <si>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</si>
  <si>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</si>
  <si>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</si>
  <si>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</si>
  <si>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</si>
  <si>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</si>
  <si>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</si>
  <si>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</si>
  <si>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</si>
  <si>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</si>
  <si>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</si>
  <si>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</si>
  <si>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</si>
  <si>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</si>
  <si>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</si>
  <si>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</si>
  <si>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</si>
  <si>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</si>
  <si>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</si>
  <si>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</si>
  <si>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</si>
  <si>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</si>
  <si>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</si>
  <si>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</si>
  <si>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</si>
  <si>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</si>
  <si>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</si>
  <si>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</si>
  <si>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</si>
  <si>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</si>
  <si>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</si>
  <si>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</si>
  <si>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</si>
  <si>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</si>
  <si>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</si>
  <si>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</si>
  <si>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</si>
  <si>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</si>
  <si>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</si>
  <si>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</si>
  <si>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</si>
  <si>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</si>
  <si>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</si>
  <si>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</si>
  <si>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</si>
  <si>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</si>
  <si>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</si>
  <si>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</si>
  <si>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</si>
  <si>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</si>
  <si>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</si>
  <si>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</si>
  <si>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</si>
  <si>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</si>
  <si>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</si>
  <si>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</si>
  <si>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</si>
  <si>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</si>
  <si>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</si>
  <si>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</si>
  <si>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</si>
  <si>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</si>
  <si>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</si>
  <si>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</si>
  <si>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</si>
  <si>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</si>
  <si>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</si>
  <si>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</si>
  <si>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</si>
  <si>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</si>
  <si>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</si>
  <si>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</si>
  <si>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</si>
  <si>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</si>
  <si>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</si>
  <si>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</si>
  <si>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</si>
  <si>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</si>
  <si>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</si>
  <si>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</si>
  <si>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</si>
  <si>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</si>
  <si>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</si>
  <si>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</si>
  <si>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</si>
  <si>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</si>
  <si>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</si>
  <si>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</si>
  <si>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</si>
  <si>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</si>
  <si>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</si>
  <si>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</si>
  <si>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</si>
  <si>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</si>
  <si>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</si>
  <si>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</si>
  <si>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</si>
  <si>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</si>
  <si>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</si>
  <si>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</si>
  <si>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</si>
  <si>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</si>
  <si>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</si>
  <si>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</si>
  <si>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</si>
  <si>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</si>
  <si>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</si>
  <si>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</si>
  <si>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</si>
  <si>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</si>
  <si>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</si>
  <si>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</si>
  <si>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</si>
  <si>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</si>
  <si>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</si>
  <si>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</si>
  <si>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</si>
  <si>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</si>
  <si>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</si>
  <si>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</si>
  <si>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</si>
  <si>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</si>
  <si>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</si>
  <si>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</si>
  <si>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</si>
  <si>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</si>
  <si>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</si>
  <si>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</si>
  <si>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</si>
  <si>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</si>
  <si>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</si>
  <si>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</si>
  <si>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</si>
  <si>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</si>
  <si>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</si>
  <si>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</si>
  <si>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</si>
  <si>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</si>
  <si>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</si>
  <si>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</si>
  <si>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</si>
  <si>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</si>
  <si>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</si>
  <si>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</si>
  <si>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</si>
  <si>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</si>
  <si>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</si>
  <si>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</si>
  <si>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</si>
  <si>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</si>
  <si>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</si>
  <si>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</si>
  <si>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</si>
  <si>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</si>
  <si>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</si>
  <si>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</si>
  <si>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</si>
  <si>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</si>
  <si>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</si>
  <si>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</si>
  <si>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</si>
  <si>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</si>
  <si>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</si>
  <si>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</si>
  <si>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</si>
  <si>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</si>
  <si>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</si>
  <si>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</si>
  <si>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</si>
  <si>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</si>
  <si>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</si>
  <si>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</si>
  <si>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</si>
  <si>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</si>
  <si>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</si>
  <si>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</si>
  <si>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</si>
  <si>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</si>
  <si>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</si>
  <si>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</si>
  <si>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</si>
  <si>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</si>
  <si>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</si>
  <si>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</si>
  <si>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</si>
  <si>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</si>
  <si>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</si>
  <si>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</si>
  <si>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</si>
  <si>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</si>
  <si>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</si>
  <si>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</si>
  <si>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</si>
  <si>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</si>
  <si>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</si>
  <si>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</si>
  <si>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</si>
  <si>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</si>
  <si>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</si>
  <si>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</si>
  <si>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</si>
  <si>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</si>
  <si>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</si>
  <si>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</si>
  <si>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</si>
  <si>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</si>
  <si>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</si>
  <si>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</si>
  <si>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</si>
  <si>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</si>
  <si>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</si>
  <si>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</si>
  <si>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</si>
  <si>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</si>
  <si>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</si>
  <si>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</si>
  <si>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</si>
  <si>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</si>
  <si>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</si>
  <si>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</si>
  <si>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</si>
  <si>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</si>
  <si>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</si>
  <si>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</si>
  <si>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</si>
  <si>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</si>
  <si>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</si>
  <si>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</si>
  <si>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</si>
  <si>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</si>
  <si>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</si>
  <si>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</si>
  <si>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</si>
  <si>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</si>
  <si>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</si>
  <si>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</si>
  <si>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</si>
  <si>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</si>
  <si>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</si>
  <si>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</si>
  <si>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</si>
  <si>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</si>
  <si>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</si>
  <si>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</si>
  <si>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</si>
  <si>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</si>
  <si>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</si>
  <si>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</si>
  <si>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</si>
  <si>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</si>
  <si>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</si>
  <si>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</si>
  <si>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</si>
  <si>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>Afzal Husain</t>
  </si>
  <si>
    <t>Anamika Gupta</t>
  </si>
  <si>
    <t>Anikuttan</t>
  </si>
  <si>
    <t>Anil Kumar</t>
  </si>
  <si>
    <t>Anita Dixit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</si>
  <si>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</si>
  <si>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</si>
  <si>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</si>
  <si>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</si>
  <si>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</si>
  <si>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</si>
  <si>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</si>
  <si>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</si>
  <si>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</si>
  <si>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</si>
  <si>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</si>
  <si>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</si>
  <si>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</si>
  <si>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</si>
  <si>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</si>
  <si>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</si>
  <si>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</si>
  <si>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</si>
  <si>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</si>
  <si>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</si>
  <si>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</si>
  <si>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</si>
  <si>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</si>
  <si>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</si>
  <si>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</si>
  <si>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</si>
  <si>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</si>
  <si>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</si>
  <si>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</si>
  <si>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</si>
  <si>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</si>
  <si>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</si>
  <si>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</si>
  <si>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</si>
  <si>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</si>
  <si>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</si>
  <si>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</si>
  <si>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</si>
  <si>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</si>
  <si>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</si>
  <si>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</si>
  <si>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</si>
  <si>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</si>
  <si>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</si>
  <si>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</si>
  <si>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</si>
  <si>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</si>
  <si>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</si>
  <si>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</si>
  <si>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</si>
  <si>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</si>
  <si>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</si>
  <si>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</si>
  <si>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</si>
  <si>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</si>
  <si>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</si>
  <si>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</si>
  <si>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</si>
  <si>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</si>
  <si>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</si>
  <si>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</si>
  <si>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</si>
  <si>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</si>
  <si>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</si>
  <si>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</si>
  <si>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</si>
  <si>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</si>
  <si>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</si>
  <si>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</si>
  <si>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</si>
  <si>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</si>
  <si>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</si>
  <si>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</si>
  <si>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</si>
  <si>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</si>
  <si>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</si>
  <si>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</si>
  <si>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</si>
  <si>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</si>
  <si>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</si>
  <si>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</si>
  <si>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</si>
  <si>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</si>
  <si>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</si>
  <si>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</si>
  <si>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</si>
  <si>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</si>
  <si>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</si>
  <si>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</si>
  <si>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</si>
  <si>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</si>
  <si>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</si>
  <si>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</si>
  <si>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</si>
  <si>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</si>
  <si>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</si>
  <si>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</si>
  <si>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</si>
  <si>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</si>
  <si>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</si>
  <si>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</si>
  <si>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</si>
  <si>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</si>
  <si>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</si>
  <si>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</si>
  <si>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</si>
  <si>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</si>
  <si>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</si>
  <si>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</si>
  <si>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</si>
  <si>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</si>
  <si>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</si>
  <si>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</si>
  <si>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</si>
  <si>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</si>
  <si>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</si>
  <si>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</si>
  <si>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</si>
  <si>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</si>
  <si>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</si>
  <si>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</si>
  <si>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</si>
  <si>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</si>
  <si>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</si>
  <si>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</si>
  <si>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</si>
  <si>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</si>
  <si>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</si>
  <si>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</si>
  <si>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</si>
  <si>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Abdul Hamid</t>
  </si>
  <si>
    <t>app. No.</t>
  </si>
  <si>
    <t>App. No.</t>
  </si>
  <si>
    <t xml:space="preserve">Employee </t>
  </si>
  <si>
    <t>Report 2 : Active with customer</t>
  </si>
  <si>
    <t xml:space="preserve">MIS REPORT </t>
  </si>
  <si>
    <t>BY USING MACRO AND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</si>
</sst>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h:mm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  <font>
      <sz val="36"/>
      <color theme="0"/>
      <name val="Bahnschrift SemiBold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10" fontId="0" fillId="0" borderId="0" xfId="0" applyNumberFormat="1"/>
    <xf numFmtId="166" fontId="2" fillId="3" borderId="3" xfId="0" applyNumberFormat="1" applyFont="1" applyFill="1" applyBorder="1" applyAlignment="1">
      <alignment horizontal="center" vertical="center" wrapText="1"/>
    </xf>
    <xf numFmtId="166" fontId="0" fillId="0" borderId="0" xfId="0" applyNumberFormat="1"/>
    <xf numFmtId="166" fontId="4" fillId="3" borderId="1" xfId="0" applyNumberFormat="1" applyFont="1" applyFill="1" applyBorder="1" applyAlignment="1">
      <alignment horizontal="center" vertical="center" wrapText="1"/>
    </xf>
    <xf numFmtId="0" fontId="3" fillId="5" borderId="3" xfId="0" applyFont="1" applyFill="1" applyBorder="1"/>
    <xf numFmtId="0" fontId="3" fillId="0" borderId="3" xfId="0" applyFont="1" applyBorder="1"/>
    <xf numFmtId="0" fontId="8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right" vertical="center" textRotation="90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4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 1(with macro+vba).xlsm]Dashboard!PivotTable4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Dashboard!$D$10:$D$14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Dashboard!$E$10:$E$14</c:f>
              <c:numCache>
                <c:formatCode>h:mm;@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 1(with macro+vba).xlsm]Dashboard!PivotTable5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Dashboard!$H$9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002-4CB7-B7D4-7AADA13FAC1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002-4CB7-B7D4-7AADA13FAC1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002-4CB7-B7D4-7AADA13FAC1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002-4CB7-B7D4-7AADA13FAC14}"/>
              </c:ext>
            </c:extLst>
          </c:dPt>
          <c:cat>
            <c:strRef>
              <c:f>Dashboard!$G$10:$G$13</c:f>
              <c:strCache>
                <c:ptCount val="4"/>
                <c:pt idx="0">
                  <c:v>1008517</c:v>
                </c:pt>
                <c:pt idx="1">
                  <c:v>1008537</c:v>
                </c:pt>
                <c:pt idx="2">
                  <c:v>1008554</c:v>
                </c:pt>
                <c:pt idx="3">
                  <c:v>1008556</c:v>
                </c:pt>
              </c:strCache>
            </c:strRef>
          </c:cat>
          <c:val>
            <c:numRef>
              <c:f>Dashboard!$H$10:$H$13</c:f>
              <c:numCache>
                <c:formatCode>0.00%</c:formatCode>
                <c:ptCount val="4"/>
                <c:pt idx="0">
                  <c:v>0.65495030262646503</c:v>
                </c:pt>
                <c:pt idx="1">
                  <c:v>0.65029060203969702</c:v>
                </c:pt>
                <c:pt idx="2">
                  <c:v>0.64380836602751801</c:v>
                </c:pt>
                <c:pt idx="3">
                  <c:v>0.64717479317021698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6" fmlaLink="$F$6" max="200" min="1" page="10" val="5"/>
</file>

<file path=xl/ctrlProps/ctrlProp2.xml><?xml version="1.0" encoding="utf-8"?>
<formControlPr xmlns="http://schemas.microsoft.com/office/spreadsheetml/2009/9/main" objectType="Spin" dx="26" fmlaLink="$F$6" max="200" min="1" page="10" val="5"/>
</file>

<file path=xl/ctrlProps/ctrlProp3.xml><?xml version="1.0" encoding="utf-8"?>
<formControlPr xmlns="http://schemas.microsoft.com/office/spreadsheetml/2009/9/main" objectType="Spin" dx="26" fmlaLink="$F$7" max="200" min="1" page="10" val="4"/>
</file>

<file path=xl/ctrlProps/ctrlProp4.xml><?xml version="1.0" encoding="utf-8"?>
<formControlPr xmlns="http://schemas.microsoft.com/office/spreadsheetml/2009/9/main" objectType="Spin" dx="26" fmlaLink="$F$7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676273</xdr:colOff>
      <xdr:row>5</xdr:row>
      <xdr:rowOff>33337</xdr:rowOff>
    </xdr:from>
    <xdr:to>
      <xdr:col>4</xdr:col>
      <xdr:colOff>1223960</xdr:colOff>
      <xdr:row>6</xdr:row>
      <xdr:rowOff>147637</xdr:rowOff>
    </xdr:to>
    <xdr:sp macro="" textlink="$F$6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5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14288</xdr:colOff>
      <xdr:row>14</xdr:row>
      <xdr:rowOff>14287</xdr:rowOff>
    </xdr:from>
    <xdr:to>
      <xdr:col>4</xdr:col>
      <xdr:colOff>2176463</xdr:colOff>
      <xdr:row>22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42862</xdr:rowOff>
    </xdr:from>
    <xdr:to>
      <xdr:col>3</xdr:col>
      <xdr:colOff>800100</xdr:colOff>
      <xdr:row>6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3</xdr:col>
      <xdr:colOff>861837</xdr:colOff>
      <xdr:row>5</xdr:row>
      <xdr:rowOff>47448</xdr:rowOff>
    </xdr:from>
    <xdr:to>
      <xdr:col>4</xdr:col>
      <xdr:colOff>345370</xdr:colOff>
      <xdr:row>6</xdr:row>
      <xdr:rowOff>162584</xdr:rowOff>
    </xdr:to>
    <xdr:pic macro="[0]!hide_code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837" y="47448"/>
          <a:ext cx="414866" cy="29858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861728</xdr:colOff>
      <xdr:row>5</xdr:row>
      <xdr:rowOff>40396</xdr:rowOff>
    </xdr:from>
    <xdr:to>
      <xdr:col>4</xdr:col>
      <xdr:colOff>346087</xdr:colOff>
      <xdr:row>6</xdr:row>
      <xdr:rowOff>156129</xdr:rowOff>
    </xdr:to>
    <xdr:pic macro="[0]!show_code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728" y="40396"/>
          <a:ext cx="415692" cy="29917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708660</xdr:colOff>
          <xdr:row>5</xdr:row>
          <xdr:rowOff>53340</xdr:rowOff>
        </xdr:from>
        <xdr:to>
          <xdr:col>4</xdr:col>
          <xdr:colOff>845820</xdr:colOff>
          <xdr:row>6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1238248</xdr:colOff>
      <xdr:row>5</xdr:row>
      <xdr:rowOff>38100</xdr:rowOff>
    </xdr:from>
    <xdr:to>
      <xdr:col>4</xdr:col>
      <xdr:colOff>2166937</xdr:colOff>
      <xdr:row>6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1950720</xdr:colOff>
          <xdr:row>14</xdr:row>
          <xdr:rowOff>68580</xdr:rowOff>
        </xdr:from>
        <xdr:to>
          <xdr:col>4</xdr:col>
          <xdr:colOff>2087880</xdr:colOff>
          <xdr:row>15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371473</xdr:colOff>
      <xdr:row>5</xdr:row>
      <xdr:rowOff>23812</xdr:rowOff>
    </xdr:from>
    <xdr:to>
      <xdr:col>7</xdr:col>
      <xdr:colOff>919160</xdr:colOff>
      <xdr:row>6</xdr:row>
      <xdr:rowOff>138112</xdr:rowOff>
    </xdr:to>
    <xdr:sp macro="" textlink="$F$7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9525</xdr:colOff>
      <xdr:row>5</xdr:row>
      <xdr:rowOff>42862</xdr:rowOff>
    </xdr:from>
    <xdr:to>
      <xdr:col>6</xdr:col>
      <xdr:colOff>800100</xdr:colOff>
      <xdr:row>6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6</xdr:col>
      <xdr:colOff>847726</xdr:colOff>
      <xdr:row>5</xdr:row>
      <xdr:rowOff>33337</xdr:rowOff>
    </xdr:from>
    <xdr:ext cx="409574" cy="296111"/>
    <xdr:pic macro="[0]!hide_code2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6</xdr:col>
      <xdr:colOff>847616</xdr:colOff>
      <xdr:row>5</xdr:row>
      <xdr:rowOff>26285</xdr:rowOff>
    </xdr:from>
    <xdr:ext cx="410400" cy="296708"/>
    <xdr:pic macro="[0]!show_code2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4838" y="26285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5</xdr:row>
          <xdr:rowOff>45720</xdr:rowOff>
        </xdr:from>
        <xdr:to>
          <xdr:col>7</xdr:col>
          <xdr:colOff>548640</xdr:colOff>
          <xdr:row>6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981075</xdr:colOff>
      <xdr:row>5</xdr:row>
      <xdr:rowOff>38100</xdr:rowOff>
    </xdr:from>
    <xdr:to>
      <xdr:col>8</xdr:col>
      <xdr:colOff>1905</xdr:colOff>
      <xdr:row>6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6</xdr:col>
      <xdr:colOff>850085</xdr:colOff>
      <xdr:row>5</xdr:row>
      <xdr:rowOff>33341</xdr:rowOff>
    </xdr:from>
    <xdr:to>
      <xdr:col>6</xdr:col>
      <xdr:colOff>1260485</xdr:colOff>
      <xdr:row>6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6</xdr:col>
      <xdr:colOff>23813</xdr:colOff>
      <xdr:row>13</xdr:row>
      <xdr:rowOff>176211</xdr:rowOff>
    </xdr:from>
    <xdr:to>
      <xdr:col>7</xdr:col>
      <xdr:colOff>1890713</xdr:colOff>
      <xdr:row>23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1668780</xdr:colOff>
          <xdr:row>14</xdr:row>
          <xdr:rowOff>76200</xdr:rowOff>
        </xdr:from>
        <xdr:to>
          <xdr:col>7</xdr:col>
          <xdr:colOff>1805940</xdr:colOff>
          <xdr:row>15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ky Soni" refreshedDate="45816.655110648149" createdVersion="6" refreshedVersion="8" minRefreshableVersion="3" recordCount="149" xr:uid="{7DF73A30-72A8-4DF3-AA3C-8DE3CF863C22}">
  <cacheSource type="worksheet">
    <worksheetSource ref="A1:H150" sheet="Summary"/>
  </cacheSource>
  <cacheFields count="8">
    <cacheField name="Employee" numFmtId="0">
      <sharedItems/>
    </cacheField>
    <cacheField name="app. No." numFmtId="0">
      <sharedItems containsSemiMixedTypes="0" containsString="0" containsNumber="1" containsInteger="1" minValue="1008512" maxValue="1008660" count="149">
        <n v="1008512"/>
        <n v="1008513"/>
        <n v="1008514"/>
        <n v="1008515"/>
        <n v="1008516"/>
        <n v="1008517"/>
        <n v="1008518"/>
        <n v="1008519"/>
        <n v="1008520"/>
        <n v="1008521"/>
        <n v="1008522"/>
        <n v="1008523"/>
        <n v="1008524"/>
        <n v="1008525"/>
        <n v="1008526"/>
        <n v="1008527"/>
        <n v="1008528"/>
        <n v="1008529"/>
        <n v="1008530"/>
        <n v="1008531"/>
        <n v="1008532"/>
        <n v="1008533"/>
        <n v="1008534"/>
        <n v="1008535"/>
        <n v="1008536"/>
        <n v="1008537"/>
        <n v="1008538"/>
        <n v="1008539"/>
        <n v="1008540"/>
        <n v="1008541"/>
        <n v="1008542"/>
        <n v="1008543"/>
        <n v="1008544"/>
        <n v="1008545"/>
        <n v="1008546"/>
        <n v="1008547"/>
        <n v="1008548"/>
        <n v="1008549"/>
        <n v="1008550"/>
        <n v="1008551"/>
        <n v="1008552"/>
        <n v="1008553"/>
        <n v="1008554"/>
        <n v="1008555"/>
        <n v="1008556"/>
        <n v="1008557"/>
        <n v="1008558"/>
        <n v="1008559"/>
        <n v="1008560"/>
        <n v="1008561"/>
        <n v="1008562"/>
        <n v="1008563"/>
        <n v="1008564"/>
        <n v="1008565"/>
        <n v="1008566"/>
        <n v="1008567"/>
        <n v="1008568"/>
        <n v="1008569"/>
        <n v="1008570"/>
        <n v="1008571"/>
        <n v="1008572"/>
        <n v="1008573"/>
        <n v="1008574"/>
        <n v="1008575"/>
        <n v="1008576"/>
        <n v="1008577"/>
        <n v="1008578"/>
        <n v="1008579"/>
        <n v="1008580"/>
        <n v="1008581"/>
        <n v="1008582"/>
        <n v="1008583"/>
        <n v="1008584"/>
        <n v="1008585"/>
        <n v="1008586"/>
        <n v="1008587"/>
        <n v="1008588"/>
        <n v="1008589"/>
        <n v="1008590"/>
        <n v="1008591"/>
        <n v="1008592"/>
        <n v="1008593"/>
        <n v="1008594"/>
        <n v="1008595"/>
        <n v="1008596"/>
        <n v="1008597"/>
        <n v="1008598"/>
        <n v="1008599"/>
        <n v="1008600"/>
        <n v="1008601"/>
        <n v="1008602"/>
        <n v="1008603"/>
        <n v="1008604"/>
        <n v="1008605"/>
        <n v="1008606"/>
        <n v="1008607"/>
        <n v="1008608"/>
        <n v="1008609"/>
        <n v="1008610"/>
        <n v="1008611"/>
        <n v="1008612"/>
        <n v="1008613"/>
        <n v="1008614"/>
        <n v="1008615"/>
        <n v="1008616"/>
        <n v="1008617"/>
        <n v="1008618"/>
        <n v="1008619"/>
        <n v="1008620"/>
        <n v="1008621"/>
        <n v="1008622"/>
        <n v="1008623"/>
        <n v="1008624"/>
        <n v="1008625"/>
        <n v="1008626"/>
        <n v="1008627"/>
        <n v="1008628"/>
        <n v="1008629"/>
        <n v="1008630"/>
        <n v="1008631"/>
        <n v="1008632"/>
        <n v="1008633"/>
        <n v="1008634"/>
        <n v="1008635"/>
        <n v="1008636"/>
        <n v="1008637"/>
        <n v="1008638"/>
        <n v="1008639"/>
        <n v="1008640"/>
        <n v="1008641"/>
        <n v="1008642"/>
        <n v="1008643"/>
        <n v="1008644"/>
        <n v="1008645"/>
        <n v="1008646"/>
        <n v="1008647"/>
        <n v="1008648"/>
        <n v="1008649"/>
        <n v="1008650"/>
        <n v="1008651"/>
        <n v="1008652"/>
        <n v="1008653"/>
        <n v="1008654"/>
        <n v="1008655"/>
        <n v="1008656"/>
        <n v="1008657"/>
        <n v="1008658"/>
        <n v="1008659"/>
        <n v="1008660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6">
      <sharedItems containsSemiMixedTypes="0" containsNonDate="0" containsDate="1" containsString="0" minDate="1899-12-30T04:56:13" maxDate="1899-12-30T09:16:31"/>
    </cacheField>
    <cacheField name="Work Efficiency " numFmtId="166">
      <sharedItems containsDate="1" containsMixedTypes="1" minDate="1899-12-30T00:48:33" maxDate="1899-12-30T05:52:08"/>
    </cacheField>
    <cacheField name="Total Break Taken" numFmtId="166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x v="0"/>
    <d v="1899-12-30T08:15:43"/>
    <d v="1899-12-30T04:57:59"/>
    <d v="1899-12-30T01:08:42"/>
    <n v="98"/>
    <n v="0.55697138822580095"/>
  </r>
  <r>
    <s v="Mum_Afzal Husain (1008513)"/>
    <x v="1"/>
    <x v="1"/>
    <d v="1899-12-30T08:15:36"/>
    <d v="1899-12-30T04:58:34"/>
    <d v="1899-12-30T01:09:59"/>
    <n v="23"/>
    <n v="0.58027306967984904"/>
  </r>
  <r>
    <s v="Mum_Anamika Gupta (1008514)"/>
    <x v="2"/>
    <x v="2"/>
    <d v="1899-12-30T08:16:57"/>
    <d v="1899-12-30T04:49:35"/>
    <d v="1899-12-30T01:13:54"/>
    <n v="28"/>
    <n v="0.51708756749505302"/>
  </r>
  <r>
    <s v="Mum_Anikuttan (1008515)"/>
    <x v="3"/>
    <x v="3"/>
    <d v="1899-12-30T08:09:56"/>
    <d v="1899-12-30T04:17:32"/>
    <d v="1899-12-30T02:19:02"/>
    <n v="29"/>
    <n v="0.47720778337188702"/>
  </r>
  <r>
    <s v="Mum_Anil Kumar (1008516)"/>
    <x v="4"/>
    <x v="4"/>
    <d v="1899-12-30T07:20:41"/>
    <d v="1899-12-30T03:19:44"/>
    <d v="1899-12-30T03:04:58"/>
    <n v="93"/>
    <n v="0.43288831738587802"/>
  </r>
  <r>
    <s v="Mum_Anita Dixit (1008517)"/>
    <x v="5"/>
    <x v="5"/>
    <d v="1899-12-30T05:00:09"/>
    <d v="1899-12-30T03:41:19"/>
    <d v="1899-12-30T00:27:07"/>
    <n v="92"/>
    <n v="0.65495030262646503"/>
  </r>
  <r>
    <s v="Mum_Anita Ghore (1008518)"/>
    <x v="6"/>
    <x v="6"/>
    <d v="1899-12-30T08:16:38"/>
    <d v="1899-12-30T04:12:46"/>
    <d v="1899-12-30T02:41:42"/>
    <n v="26"/>
    <n v="0.49476474931203401"/>
  </r>
  <r>
    <s v="Mum_Anjali Deoram (1008519)"/>
    <x v="7"/>
    <x v="7"/>
    <d v="1899-12-30T09:16:31"/>
    <d v="1899-12-30T05:52:08"/>
    <d v="1899-12-30T01:13:10"/>
    <n v="90"/>
    <n v="0.55128627474469205"/>
  </r>
  <r>
    <s v="Mum_Anjali Sahay (1008520)"/>
    <x v="8"/>
    <x v="8"/>
    <d v="1899-12-30T08:13:18"/>
    <d v="1899-12-30T04:52:29"/>
    <d v="1899-12-30T01:06:39"/>
    <n v="89"/>
    <n v="0.55206432867085597"/>
  </r>
  <r>
    <s v="Mum_Annu Latika (1008521)"/>
    <x v="9"/>
    <x v="9"/>
    <d v="1899-12-30T08:20:41"/>
    <d v="1899-12-30T04:58:07"/>
    <d v="1899-12-30T01:09:57"/>
    <n v="54"/>
    <n v="0.56868945774108703"/>
  </r>
  <r>
    <s v="Mum_Anoop Narayan (1008522)"/>
    <x v="10"/>
    <x v="10"/>
    <d v="1899-12-30T08:10:35"/>
    <d v="1899-12-30T04:55:28"/>
    <d v="1899-12-30T01:09:15"/>
    <n v="87"/>
    <n v="0.56035332087650802"/>
  </r>
  <r>
    <s v="Mum_Anoop Raj (1008523)"/>
    <x v="11"/>
    <x v="11"/>
    <d v="1899-12-30T08:04:10"/>
    <d v="1899-12-30T03:47:42"/>
    <d v="1899-12-30T03:01:18"/>
    <n v="65"/>
    <n v="0.41552495697073999"/>
  </r>
  <r>
    <s v="Mum_Anubhuti Gupta (1008524)"/>
    <x v="12"/>
    <x v="12"/>
    <d v="1899-12-30T08:14:38"/>
    <d v="1899-12-30T04:43:40"/>
    <d v="1899-12-30T02:06:41"/>
    <n v="85"/>
    <n v="0.50026955994339195"/>
  </r>
  <r>
    <s v="Mum_Arun Kumar (1008525)"/>
    <x v="13"/>
    <x v="13"/>
    <d v="1899-12-30T07:59:50"/>
    <d v="1899-12-30T04:40:27"/>
    <d v="1899-12-30T01:10:34"/>
    <n v="65"/>
    <n v="0.51396318166029897"/>
  </r>
  <r>
    <s v="Mum_Ashish Kumar (1008526)"/>
    <x v="14"/>
    <x v="14"/>
    <d v="1899-12-30T08:16:59"/>
    <d v="1899-12-30T04:57:35"/>
    <d v="1899-12-30T01:16:59"/>
    <n v="83"/>
    <n v="0.510580502364264"/>
  </r>
  <r>
    <s v="Mum_Ashok Kumar (1008527)"/>
    <x v="15"/>
    <x v="15"/>
    <d v="1899-12-30T08:17:15"/>
    <d v="1899-12-30T04:10:25"/>
    <d v="1899-12-30T02:24:20"/>
    <n v="82"/>
    <n v="0.48292274174627098"/>
  </r>
  <r>
    <s v="Hyd_Ashok Kumar (1008528)"/>
    <x v="16"/>
    <x v="15"/>
    <d v="1899-12-30T07:53:01"/>
    <d v="1899-12-30T04:44:12"/>
    <d v="1899-12-30T00:56:29"/>
    <n v="81"/>
    <n v="0.57362319861879396"/>
  </r>
  <r>
    <s v="Hyd_Ashok Kumar (1008529)"/>
    <x v="17"/>
    <x v="15"/>
    <d v="1899-12-30T08:16:43"/>
    <d v="1899-12-30T04:58:07"/>
    <d v="1899-12-30T01:10:07"/>
    <n v="80"/>
    <n v="0.56430560681810604"/>
  </r>
  <r>
    <s v="Hyd_Ashok Kumar (1008530)"/>
    <x v="18"/>
    <x v="15"/>
    <d v="1899-12-30T08:21:16"/>
    <d v="1899-12-30T04:23:03"/>
    <d v="1899-12-30T02:40:10"/>
    <n v="79"/>
    <n v="0.46974331693044302"/>
  </r>
  <r>
    <s v="Hyd_Ashok Mahto (1008531)"/>
    <x v="19"/>
    <x v="16"/>
    <d v="1899-12-30T08:17:52"/>
    <d v="1899-12-30T04:58:14"/>
    <d v="1899-12-30T01:14:30"/>
    <n v="78"/>
    <n v="0.57495313336904097"/>
  </r>
  <r>
    <s v="Hyd_Atul Kumar (1008532)"/>
    <x v="20"/>
    <x v="17"/>
    <d v="1899-12-30T08:13:41"/>
    <d v="1899-12-30T04:53:40"/>
    <d v="1899-12-30T01:06:59"/>
    <n v="77"/>
    <n v="0.57945376590932096"/>
  </r>
  <r>
    <s v="Hyd_Azam (1008533)"/>
    <x v="21"/>
    <x v="18"/>
    <d v="1899-12-30T08:17:34"/>
    <d v="1899-12-30T04:59:50"/>
    <d v="1899-12-30T01:09:47"/>
    <n v="76"/>
    <n v="0.588296375695049"/>
  </r>
  <r>
    <s v="Hyd_Bhagwat Singh (1008534)"/>
    <x v="22"/>
    <x v="19"/>
    <d v="1899-12-30T07:41:44"/>
    <d v="1899-12-30T04:08:57"/>
    <d v="1899-12-30T02:10:18"/>
    <n v="75"/>
    <n v="0.46267686976609901"/>
  </r>
  <r>
    <s v="Hyd_Bindu Nair (1008535)"/>
    <x v="23"/>
    <x v="20"/>
    <d v="1899-12-30T08:10:04"/>
    <d v="1899-12-30T04:14:05"/>
    <d v="1899-12-30T02:11:17"/>
    <n v="74"/>
    <n v="0.478030199972793"/>
  </r>
  <r>
    <s v="Hyd_Daleep Singh (1008536)"/>
    <x v="24"/>
    <x v="21"/>
    <d v="1899-12-30T08:14:20"/>
    <d v="1899-12-30T05:26:56"/>
    <d v="1899-12-30T01:12:54"/>
    <n v="73"/>
    <n v="0.59983142279163904"/>
  </r>
  <r>
    <s v="Hyd_Deepak Kumar (1008537)"/>
    <x v="25"/>
    <x v="22"/>
    <d v="1899-12-30T07:35:57"/>
    <d v="1899-12-30T05:05:16"/>
    <d v="1899-12-30T00:30:30"/>
    <n v="72"/>
    <n v="0.65029060203969702"/>
  </r>
  <r>
    <s v="Hyd_Deepika Nigam (1008538)"/>
    <x v="26"/>
    <x v="23"/>
    <d v="1899-12-30T08:16:59"/>
    <d v="1899-12-30T04:56:45"/>
    <d v="1899-12-30T01:11:40"/>
    <n v="71"/>
    <n v="0.55001844461584903"/>
  </r>
  <r>
    <s v="Hyd_Dinesh Kumar (1008539)"/>
    <x v="27"/>
    <x v="24"/>
    <d v="1899-12-30T08:13:53"/>
    <d v="1899-12-30T05:06:20"/>
    <d v="1899-12-30T01:10:03"/>
    <n v="70"/>
    <n v="0.51334660682347399"/>
  </r>
  <r>
    <s v="Hyd_Hari Kumar (1008540)"/>
    <x v="28"/>
    <x v="25"/>
    <d v="1899-12-30T08:15:11"/>
    <d v="1899-12-30T04:11:43"/>
    <d v="1899-12-30T02:44:52"/>
    <n v="69"/>
    <n v="0.43603379219817601"/>
  </r>
  <r>
    <s v="Hyd_Heeramani Choudhary (1008541)"/>
    <x v="29"/>
    <x v="26"/>
    <d v="1899-12-30T07:27:24"/>
    <d v="1899-12-30T04:35:28"/>
    <d v="1899-12-30T01:20:20"/>
    <n v="68"/>
    <n v="0.52954105200417201"/>
  </r>
  <r>
    <s v="Hyd_Indra Pal (1008542)"/>
    <x v="30"/>
    <x v="27"/>
    <d v="1899-12-30T07:59:57"/>
    <d v="1899-12-30T05:14:16"/>
    <d v="1899-12-30T01:09:15"/>
    <n v="67"/>
    <n v="0.56446852102649603"/>
  </r>
  <r>
    <s v="Hyd_Indra Singh (1008543)"/>
    <x v="31"/>
    <x v="28"/>
    <d v="1899-12-30T08:17:44"/>
    <d v="1899-12-30T05:05:03"/>
    <d v="1899-12-30T02:09:14"/>
    <n v="66"/>
    <n v="0.49789043664612898"/>
  </r>
  <r>
    <s v="Hyd_Jagdish Chandra (1008544)"/>
    <x v="32"/>
    <x v="29"/>
    <d v="1899-12-30T08:19:10"/>
    <d v="1899-12-30T04:59:15"/>
    <d v="1899-12-30T01:09:03"/>
    <n v="65"/>
    <n v="0.56270450751252099"/>
  </r>
  <r>
    <s v="Hyd_Jairaj Vatham (1008545)"/>
    <x v="33"/>
    <x v="30"/>
    <d v="1899-12-30T08:16:23"/>
    <d v="1899-12-30T05:02:08"/>
    <d v="1899-12-30T01:09:56"/>
    <n v="64"/>
    <n v="0.57680556021891705"/>
  </r>
  <r>
    <s v="Hyd_Janardan Mishra (1008546)"/>
    <x v="34"/>
    <x v="31"/>
    <d v="1899-12-30T07:39:42"/>
    <d v="1899-12-30T04:32:56"/>
    <d v="1899-12-30T01:28:09"/>
    <n v="63"/>
    <n v="0.55728373576970502"/>
  </r>
  <r>
    <s v="Hyd_Jitendra Kumar (1008547)"/>
    <x v="35"/>
    <x v="32"/>
    <d v="1899-12-30T08:11:27"/>
    <d v="1899-12-30T04:07:41"/>
    <d v="1899-12-30T02:35:12"/>
    <n v="62"/>
    <n v="0.47590463594126198"/>
  </r>
  <r>
    <s v="Hyd_John D'Costa (1008548)"/>
    <x v="36"/>
    <x v="33"/>
    <d v="1899-12-30T08:09:47"/>
    <d v="1899-12-30T04:51:30"/>
    <d v="1899-12-30T01:09:36"/>
    <n v="61"/>
    <n v="0.55636846224520997"/>
  </r>
  <r>
    <s v="Hyd_Julie S (1008549)"/>
    <x v="37"/>
    <x v="34"/>
    <d v="1899-12-30T08:15:46"/>
    <d v="1899-12-30T04:56:12"/>
    <d v="1899-12-30T01:10:44"/>
    <n v="60"/>
    <n v="0.527970147246689"/>
  </r>
  <r>
    <s v="Hyd_Jyoti Tulsani (1008550)"/>
    <x v="38"/>
    <x v="35"/>
    <d v="1899-12-30T08:15:19"/>
    <d v="1899-12-30T04:56:56"/>
    <d v="1899-12-30T01:10:27"/>
    <n v="59"/>
    <n v="0.565025741108382"/>
  </r>
  <r>
    <s v="Hyd_Kahkasha Parveen (1008551)"/>
    <x v="39"/>
    <x v="36"/>
    <d v="1899-12-30T08:17:24"/>
    <d v="1899-12-30T05:25:18"/>
    <d v="1899-12-30T01:10:12"/>
    <n v="58"/>
    <n v="0.48579278917035301"/>
  </r>
  <r>
    <s v="Hyd_Kailash Nath (1008552)"/>
    <x v="40"/>
    <x v="37"/>
    <d v="1899-12-30T08:16:01"/>
    <d v="1899-12-30T04:58:27"/>
    <d v="1899-12-30T01:07:40"/>
    <n v="57"/>
    <n v="0.572258996673499"/>
  </r>
  <r>
    <s v="Hyd_Kalpana Agrawal (1008553)"/>
    <x v="41"/>
    <x v="38"/>
    <d v="1899-12-30T08:00:08"/>
    <d v="1899-12-30T03:54:19"/>
    <d v="1899-12-30T02:24:54"/>
    <n v="56"/>
    <n v="0.46542627048042201"/>
  </r>
  <r>
    <s v="Hyd_Kamini Kumar (1008554)"/>
    <x v="42"/>
    <x v="39"/>
    <d v="1899-12-30T05:01:37"/>
    <d v="1899-12-30T03:21:30"/>
    <d v="1899-12-30T00:15:00"/>
    <n v="55"/>
    <n v="0.64380836602751801"/>
  </r>
  <r>
    <s v="Hyd_Kamini Tiwari (1008555)"/>
    <x v="43"/>
    <x v="40"/>
    <d v="1899-12-30T08:26:46"/>
    <d v="1899-12-30T05:18:49"/>
    <d v="1899-12-30T01:09:45"/>
    <n v="54"/>
    <n v="0.57347234098533195"/>
  </r>
  <r>
    <s v="Hyd_Kavita Sharma (1008556)"/>
    <x v="44"/>
    <x v="41"/>
    <d v="1899-12-30T07:53:25"/>
    <d v="1899-12-30T05:26:19"/>
    <d v="1899-12-30T00:56:19"/>
    <n v="53"/>
    <n v="0.64717479317021698"/>
  </r>
  <r>
    <s v="Hyd_Kiran Khubchandani (1008557)"/>
    <x v="45"/>
    <x v="42"/>
    <d v="1899-12-30T08:01:28"/>
    <d v="1899-12-30T04:13:15"/>
    <d v="1899-12-30T02:10:24"/>
    <n v="52"/>
    <n v="0.50443090556632497"/>
  </r>
  <r>
    <s v="Hyd_Kisun Sah (1008558)"/>
    <x v="46"/>
    <x v="43"/>
    <d v="1899-12-30T08:21:34"/>
    <d v="1899-12-30T05:08:41"/>
    <d v="1899-12-30T01:09:28"/>
    <n v="51"/>
    <n v="0.55280122283511701"/>
  </r>
  <r>
    <s v="Hyd_Krishana Kumar (1008559)"/>
    <x v="47"/>
    <x v="44"/>
    <d v="1899-12-30T08:15:28"/>
    <d v="1899-12-30T04:45:06"/>
    <d v="1899-12-30T01:09:45"/>
    <n v="50"/>
    <n v="0.55493137782561897"/>
  </r>
  <r>
    <s v="Hyd_Kunj Bihari (1008560)"/>
    <x v="48"/>
    <x v="45"/>
    <d v="1899-12-30T07:59:19"/>
    <d v="1899-12-30T04:42:13"/>
    <d v="1899-12-30T01:10:11"/>
    <n v="49"/>
    <n v="0.55217497131332804"/>
  </r>
  <r>
    <s v="Hyd_Leena George (1008561)"/>
    <x v="49"/>
    <x v="46"/>
    <d v="1899-12-30T04:56:13"/>
    <d v="1899-12-30T03:10:50"/>
    <d v="1899-12-30T00:18:10"/>
    <n v="48"/>
    <n v="0.58819557756147001"/>
  </r>
  <r>
    <s v="Hyd_Lilly Lucy (1008562)"/>
    <x v="50"/>
    <x v="47"/>
    <d v="1899-12-30T07:45:23"/>
    <d v="1899-12-30T04:39:06"/>
    <d v="1899-12-30T01:14:44"/>
    <n v="47"/>
    <n v="0.55534863732407003"/>
  </r>
  <r>
    <s v="Hyd_Mangal Singh (1008563)"/>
    <x v="51"/>
    <x v="48"/>
    <d v="1899-12-30T08:00:13"/>
    <d v="1899-12-30T04:46:25"/>
    <d v="1899-12-30T01:10:04"/>
    <n v="46"/>
    <n v="0.55815083469267301"/>
  </r>
  <r>
    <s v="Hyd_Manisha Shrivastava (1008564)"/>
    <x v="52"/>
    <x v="49"/>
    <d v="1899-12-30T08:09:49"/>
    <d v="1899-12-30T04:51:12"/>
    <d v="1899-12-30T01:10:09"/>
    <n v="45"/>
    <n v="0.53002824185919895"/>
  </r>
  <r>
    <s v="Hyd_Manjusha Sinha (1008565)"/>
    <x v="53"/>
    <x v="50"/>
    <d v="1899-12-30T08:14:05"/>
    <d v="1899-12-30T05:04:01"/>
    <d v="1899-12-30T01:10:39"/>
    <n v="44"/>
    <n v="0.54639905548996504"/>
  </r>
  <r>
    <s v="Hyd_ManjuTiwari Lab (1008566)"/>
    <x v="54"/>
    <x v="51"/>
    <d v="1899-12-30T07:41:28"/>
    <d v="1899-12-30T04:26:11"/>
    <d v="1899-12-30T01:10:46"/>
    <n v="43"/>
    <n v="0.52849609939323905"/>
  </r>
  <r>
    <s v="Hyd_Manoj Kumar (1008567)"/>
    <x v="55"/>
    <x v="52"/>
    <d v="1899-12-30T08:00:44"/>
    <d v="1899-12-30T04:28:58"/>
    <d v="1899-12-30T01:09:53"/>
    <n v="42"/>
    <n v="0.53279711551795905"/>
  </r>
  <r>
    <s v="Hyd_Manoj Kumar (1008568)"/>
    <x v="56"/>
    <x v="52"/>
    <d v="1899-12-30T07:55:23"/>
    <d v="1899-12-30T04:29:51"/>
    <d v="1899-12-30T01:15:59"/>
    <n v="41"/>
    <n v="0.53150089401535605"/>
  </r>
  <r>
    <s v="Hyd_Masroor Adil (1008569)"/>
    <x v="57"/>
    <x v="53"/>
    <d v="1899-12-30T08:10:04"/>
    <d v="1899-12-30T05:04:35"/>
    <d v="1899-12-30T01:11:39"/>
    <n v="40"/>
    <n v="0.58954564004897303"/>
  </r>
  <r>
    <s v="Hyd_Meena Zinjare (1008570)"/>
    <x v="58"/>
    <x v="54"/>
    <d v="1899-12-30T08:05:29"/>
    <d v="1899-12-30T03:09:32"/>
    <d v="1899-12-30T03:34:45"/>
    <n v="39"/>
    <n v="0.34903360911806097"/>
  </r>
  <r>
    <s v="Hyd_Mehnaz Khan (1008571)"/>
    <x v="59"/>
    <x v="55"/>
    <d v="1899-12-30T08:14:51"/>
    <d v="1899-12-30T04:08:21"/>
    <d v="1899-12-30T02:12:24"/>
    <n v="38"/>
    <n v="0.47933717288067101"/>
  </r>
  <r>
    <s v="Hyd_Mercy Thampi (1008572)"/>
    <x v="60"/>
    <x v="56"/>
    <d v="1899-12-30T05:15:35"/>
    <d v="1899-12-30T03:38:44"/>
    <d v="1899-12-30T00:15:35"/>
    <n v="37"/>
    <n v="0.62762080802746201"/>
  </r>
  <r>
    <s v="Hyd_Miny Mole (1008573)"/>
    <x v="61"/>
    <x v="57"/>
    <d v="1899-12-30T08:12:10"/>
    <d v="1899-12-30T04:14:06"/>
    <d v="1899-12-30T02:13:07"/>
    <n v="36"/>
    <n v="0.47561801557737898"/>
  </r>
  <r>
    <s v="Hyd_Mohd Rafi (1008574)"/>
    <x v="62"/>
    <x v="58"/>
    <d v="1899-12-30T08:00:32"/>
    <d v="1899-12-30T03:55:15"/>
    <d v="1899-12-30T02:38:29"/>
    <n v="35"/>
    <n v="0.43635543840177599"/>
  </r>
  <r>
    <s v="Hyd_Mubeen Khan (1008575)"/>
    <x v="63"/>
    <x v="59"/>
    <d v="1899-12-30T07:55:35"/>
    <d v="1899-12-30T03:50:43"/>
    <d v="1899-12-30T02:24:38"/>
    <n v="34"/>
    <n v="0.451270369721395"/>
  </r>
  <r>
    <s v="Hyd_Mukesh Nagar (1008576)"/>
    <x v="64"/>
    <x v="60"/>
    <d v="1899-12-30T05:01:07"/>
    <d v="1899-12-30T03:13:40"/>
    <d v="1899-12-30T00:29:34"/>
    <n v="33"/>
    <n v="0.61244257486024201"/>
  </r>
  <r>
    <s v="Hyd_Nandu Kumar (1008577)"/>
    <x v="65"/>
    <x v="61"/>
    <d v="1899-12-30T08:21:39"/>
    <d v="1899-12-30T04:43:39"/>
    <d v="1899-12-30T01:14:03"/>
    <n v="32"/>
    <n v="0.51755872288115901"/>
  </r>
  <r>
    <s v="Hyd_Narayan Singh (1008578)"/>
    <x v="66"/>
    <x v="62"/>
    <d v="1899-12-30T08:19:29"/>
    <d v="1899-12-30T04:54:19"/>
    <d v="1899-12-30T01:08:27"/>
    <n v="31"/>
    <n v="0.55550735760285597"/>
  </r>
  <r>
    <s v="Hyd_Neeraj Saxena (1008579)"/>
    <x v="67"/>
    <x v="63"/>
    <d v="1899-12-30T08:21:13"/>
    <d v="1899-12-30T04:36:09"/>
    <d v="1899-12-30T02:15:18"/>
    <n v="30"/>
    <n v="0.45535862734013899"/>
  </r>
  <r>
    <s v="Hyd_Neeru Mehta (1008580)"/>
    <x v="68"/>
    <x v="64"/>
    <d v="1899-12-30T08:02:20"/>
    <d v="1899-12-30T04:44:15"/>
    <d v="1899-12-30T01:10:03"/>
    <n v="29"/>
    <n v="0.53445058742225304"/>
  </r>
  <r>
    <s v="Hyd_Nikita Panwalkar (1008581)"/>
    <x v="69"/>
    <x v="65"/>
    <d v="1899-12-30T08:16:46"/>
    <d v="1899-12-30T04:58:45"/>
    <d v="1899-12-30T01:37:25"/>
    <n v="28"/>
    <n v="0.55914916459773201"/>
  </r>
  <r>
    <s v="Hyd_Nitin Bhatia (1008582)"/>
    <x v="70"/>
    <x v="66"/>
    <d v="1899-12-30T08:00:37"/>
    <d v="1899-12-30T04:44:56"/>
    <d v="1899-12-30T01:09:53"/>
    <n v="29"/>
    <n v="0.56847106148351101"/>
  </r>
  <r>
    <s v="Hyd_Om Prakash (1008583)"/>
    <x v="71"/>
    <x v="67"/>
    <d v="1899-12-30T07:55:44"/>
    <d v="1899-12-30T04:26:21"/>
    <d v="1899-12-30T01:36:03"/>
    <n v="30"/>
    <n v="0.47509108744394601"/>
  </r>
  <r>
    <s v="Hyd_Omprakash O (1008584)"/>
    <x v="72"/>
    <x v="68"/>
    <d v="1899-12-30T08:09:43"/>
    <d v="1899-12-30T04:02:05"/>
    <d v="1899-12-30T02:11:54"/>
    <n v="31"/>
    <n v="0.47578531804104401"/>
  </r>
  <r>
    <s v="Hyd_Owais Mohd (1008585)"/>
    <x v="73"/>
    <x v="69"/>
    <d v="1899-12-30T08:01:11"/>
    <d v="1899-12-30T04:02:50"/>
    <d v="1899-12-30T02:26:26"/>
    <n v="32"/>
    <n v="0.46898271622042897"/>
  </r>
  <r>
    <s v="Hyd_Pankaj Shelkey (1008586)"/>
    <x v="74"/>
    <x v="70"/>
    <d v="1899-12-30T08:15:54"/>
    <d v="1899-12-30T04:26:54"/>
    <d v="1899-12-30T01:55:26"/>
    <n v="33"/>
    <n v="0.51361161524500898"/>
  </r>
  <r>
    <s v="Hyd_Partha Sarathi (1008587)"/>
    <x v="75"/>
    <x v="71"/>
    <d v="1899-12-30T08:32:22"/>
    <d v="1899-12-30T05:11:39"/>
    <d v="1899-12-30T01:38:42"/>
    <n v="34"/>
    <n v="0.525112224318522"/>
  </r>
  <r>
    <s v="Hyd_Prabha Desikan (1008588)"/>
    <x v="76"/>
    <x v="72"/>
    <d v="1899-12-30T08:21:49"/>
    <d v="1899-12-30T03:03:51"/>
    <d v="1899-12-30T04:11:26"/>
    <n v="35"/>
    <n v="0.348600086352918"/>
  </r>
  <r>
    <s v="Hyd_Pramod Tiwari (1008589)"/>
    <x v="77"/>
    <x v="73"/>
    <d v="1899-12-30T08:25:20"/>
    <d v="1899-12-30T02:54:03"/>
    <d v="1899-12-30T04:21:06"/>
    <n v="36"/>
    <n v="0.314709762532982"/>
  </r>
  <r>
    <s v="Hyd_Prasannakumari S (1008590)"/>
    <x v="78"/>
    <x v="74"/>
    <d v="1899-12-30T08:08:02"/>
    <d v="1899-12-30T05:10:46"/>
    <d v="1899-12-30T01:10:25"/>
    <n v="37"/>
    <n v="0.55600710333993597"/>
  </r>
  <r>
    <s v="Hyd_Praveen Kumar (1008591)"/>
    <x v="79"/>
    <x v="75"/>
    <d v="1899-12-30T08:19:20"/>
    <d v="1899-12-30T04:08:46"/>
    <d v="1899-12-30T02:37:28"/>
    <n v="38"/>
    <n v="0.46221628838451301"/>
  </r>
  <r>
    <s v="Hyd_Rachel Mathew (1008592)"/>
    <x v="80"/>
    <x v="76"/>
    <d v="1899-12-30T08:25:36"/>
    <d v="1899-12-30T03:40:53"/>
    <d v="1899-12-30T03:20:01"/>
    <n v="39"/>
    <n v="0.39075685654008402"/>
  </r>
  <r>
    <s v="Hyd_Rachita Anupam (1008593)"/>
    <x v="81"/>
    <x v="77"/>
    <d v="1899-12-30T08:16:26"/>
    <d v="1899-12-30T05:16:03"/>
    <d v="1899-12-30T01:08:32"/>
    <n v="40"/>
    <n v="0.54713623850130899"/>
  </r>
  <r>
    <s v="Hyd_Rachna Chauhan (1008594)"/>
    <x v="82"/>
    <x v="78"/>
    <d v="1899-12-30T07:36:07"/>
    <d v="1899-12-30T05:07:23"/>
    <d v="1899-12-30T00:30:20"/>
    <n v="41"/>
    <n v="0.61457229509993805"/>
  </r>
  <r>
    <s v="Hyd_Raj Kumar (1008595)"/>
    <x v="83"/>
    <x v="79"/>
    <d v="1899-12-30T08:09:57"/>
    <d v="1899-12-30T05:03:51"/>
    <d v="1899-12-30T01:08:44"/>
    <n v="42"/>
    <n v="0.55335578460387103"/>
  </r>
  <r>
    <s v="Hyd_Rajeev Garg (1008596)"/>
    <x v="84"/>
    <x v="80"/>
    <d v="1899-12-30T08:04:00"/>
    <d v="1899-12-30T05:05:29"/>
    <d v="1899-12-30T01:08:24"/>
    <n v="43"/>
    <n v="0.611363636363636"/>
  </r>
  <r>
    <s v="Hyd_Rajeev Kumar (1008597)"/>
    <x v="85"/>
    <x v="81"/>
    <d v="1899-12-30T07:59:43"/>
    <d v="1899-12-30T04:28:51"/>
    <d v="1899-12-30T01:37:06"/>
    <n v="44"/>
    <n v="0.51217732689434703"/>
  </r>
  <r>
    <s v="Hyd_Rajendra Gupta (1008598)"/>
    <x v="86"/>
    <x v="82"/>
    <d v="1899-12-30T08:25:57"/>
    <d v="1899-12-30T04:58:12"/>
    <d v="1899-12-30T01:19:08"/>
    <n v="45"/>
    <n v="0.56029910728991705"/>
  </r>
  <r>
    <s v="Hyd_Rajendra Kumar (1008599)"/>
    <x v="87"/>
    <x v="83"/>
    <d v="1899-12-30T08:14:44"/>
    <d v="1899-12-30T03:55:22"/>
    <d v="1899-12-30T02:34:16"/>
    <n v="46"/>
    <n v="0.42891793558819602"/>
  </r>
  <r>
    <s v="Hyd_Rajendra Prasad (1008600)"/>
    <x v="88"/>
    <x v="84"/>
    <d v="1899-12-30T08:22:34"/>
    <d v="1899-12-30T00:48:33"/>
    <d v="1899-12-30T07:08:19"/>
    <n v="47"/>
    <n v="9.4547987000066294E-2"/>
  </r>
  <r>
    <s v="Hyd_Rajesh Kumar (1008601)"/>
    <x v="89"/>
    <x v="85"/>
    <d v="1899-12-30T08:00:39"/>
    <d v="1899-12-30T05:11:50"/>
    <d v="1899-12-30T01:12:04"/>
    <n v="48"/>
    <n v="0.61021533340268397"/>
  </r>
  <r>
    <s v="Hyd_Rajesh Kumar (1008602)"/>
    <x v="90"/>
    <x v="85"/>
    <d v="1899-12-30T08:17:39"/>
    <d v="1899-12-30T04:49:40"/>
    <d v="1899-12-30T02:06:35"/>
    <n v="49"/>
    <n v="0.51260926353863201"/>
  </r>
  <r>
    <s v="Hyd_Rajesh Sharma (1008603)"/>
    <x v="91"/>
    <x v="86"/>
    <d v="1899-12-30T05:04:31"/>
    <d v="1899-12-30T03:24:21"/>
    <d v="1899-12-30T00:24:27"/>
    <n v="50"/>
    <n v="0.62426796562859199"/>
  </r>
  <r>
    <s v="Hyd_Raji Abraham (1008604)"/>
    <x v="92"/>
    <x v="87"/>
    <d v="1899-12-30T08:10:41"/>
    <d v="1899-12-30T04:44:35"/>
    <d v="1899-12-30T01:09:28"/>
    <n v="51"/>
    <n v="0.54373153085832704"/>
  </r>
  <r>
    <s v="Hyd_Rajshree Dhabekar (1008605)"/>
    <x v="93"/>
    <x v="88"/>
    <d v="1899-12-30T08:15:13"/>
    <e v="#VALUE!"/>
    <d v="1899-12-30T08:15:09"/>
    <n v="52"/>
    <n v="0"/>
  </r>
  <r>
    <s v="Hyd_Rakhi Jodhani (1008606)"/>
    <x v="94"/>
    <x v="89"/>
    <d v="1899-12-30T08:02:52"/>
    <d v="1899-12-30T01:13:06"/>
    <d v="1899-12-30T06:39:44"/>
    <n v="53"/>
    <n v="0.14431174927516199"/>
  </r>
  <r>
    <s v="Hyd_Ramji Prasad (1008607)"/>
    <x v="95"/>
    <x v="90"/>
    <d v="1899-12-30T08:19:26"/>
    <d v="1899-12-30T04:53:04"/>
    <d v="1899-12-30T01:13:46"/>
    <n v="54"/>
    <n v="0.55259293866381898"/>
  </r>
  <r>
    <s v="Del_Rashid (1008608)"/>
    <x v="96"/>
    <x v="91"/>
    <d v="1899-12-30T08:02:10"/>
    <d v="1899-12-30T01:36:08"/>
    <d v="1899-12-30T05:45:13"/>
    <n v="55"/>
    <n v="0.18938817836156199"/>
  </r>
  <r>
    <s v="Del_Rashmi Gajbe (1008609)"/>
    <x v="97"/>
    <x v="92"/>
    <d v="1899-12-30T08:20:42"/>
    <d v="1899-12-30T04:16:57"/>
    <d v="1899-12-30T02:04:58"/>
    <n v="56"/>
    <n v="0.47077424938419499"/>
  </r>
  <r>
    <s v="Del_Ravi Kumar (1008610)"/>
    <x v="98"/>
    <x v="93"/>
    <d v="1899-12-30T08:00:44"/>
    <d v="1899-12-30T04:47:03"/>
    <d v="1899-12-30T01:11:14"/>
    <n v="57"/>
    <n v="0.53862155040909698"/>
  </r>
  <r>
    <s v="Del_Ravinder Kaur (1008611)"/>
    <x v="99"/>
    <x v="94"/>
    <d v="1899-12-30T08:01:53"/>
    <d v="1899-12-30T04:38:57"/>
    <d v="1899-12-30T01:09:28"/>
    <n v="58"/>
    <n v="0.53294365856189296"/>
  </r>
  <r>
    <s v="Del_Rekha Agarwal (1008612)"/>
    <x v="100"/>
    <x v="95"/>
    <d v="1899-12-30T05:53:52"/>
    <d v="1899-12-30T02:53:07"/>
    <d v="1899-12-30T02:41:42"/>
    <n v="59"/>
    <n v="0.41310286360211002"/>
  </r>
  <r>
    <s v="Del_Rekha Gupta (1008613)"/>
    <x v="101"/>
    <x v="96"/>
    <d v="1899-12-30T08:16:02"/>
    <d v="1899-12-30T04:22:52"/>
    <d v="1899-12-30T01:50:37"/>
    <n v="60"/>
    <n v="0.50483838451717"/>
  </r>
  <r>
    <s v="Del_Rekha Jain  (1008614)"/>
    <x v="102"/>
    <x v="97"/>
    <d v="1899-12-30T08:15:42"/>
    <d v="1899-12-30T04:25:29"/>
    <d v="1899-12-30T01:36:57"/>
    <n v="61"/>
    <n v="0.52390558805729304"/>
  </r>
  <r>
    <s v="Del_Renu Pratap (1008615)"/>
    <x v="103"/>
    <x v="98"/>
    <d v="1899-12-30T08:16:30"/>
    <d v="1899-12-30T02:30:29"/>
    <d v="1899-12-30T05:07:55"/>
    <n v="62"/>
    <n v="0.25444780127559602"/>
  </r>
  <r>
    <s v="Del_Ritu Bhatnagar (1008616)"/>
    <x v="104"/>
    <x v="99"/>
    <d v="1899-12-30T08:01:48"/>
    <d v="1899-12-30T04:52:13"/>
    <d v="1899-12-30T01:13:20"/>
    <n v="63"/>
    <n v="0.55517503805174995"/>
  </r>
  <r>
    <s v="Del_Rohit Nishchal (1008617)"/>
    <x v="105"/>
    <x v="100"/>
    <d v="1899-12-30T08:17:09"/>
    <e v="#VALUE!"/>
    <d v="1899-12-30T08:17:00"/>
    <n v="64"/>
    <n v="0"/>
  </r>
  <r>
    <s v="Del_Roli Bhatnagar (1008618)"/>
    <x v="106"/>
    <x v="101"/>
    <d v="1899-12-30T08:15:43"/>
    <d v="1899-12-30T04:08:30"/>
    <d v="1899-12-30T02:10:16"/>
    <n v="65"/>
    <n v="0.477120667047709"/>
  </r>
  <r>
    <s v="Del_Roma Rastogi (1008619)"/>
    <x v="107"/>
    <x v="102"/>
    <d v="1899-12-30T08:31:02"/>
    <d v="1899-12-30T05:35:38"/>
    <d v="1899-12-30T00:53:47"/>
    <n v="66"/>
    <n v="0.61917030852521004"/>
  </r>
  <r>
    <s v="Del_Roohi Haider (1008620)"/>
    <x v="108"/>
    <x v="103"/>
    <d v="1899-12-30T08:00:11"/>
    <d v="1899-12-30T04:52:11"/>
    <d v="1899-12-30T01:09:24"/>
    <n v="67"/>
    <n v="0.55305265350039901"/>
  </r>
  <r>
    <s v="Del_Sajid Naqvi (1008621)"/>
    <x v="109"/>
    <x v="104"/>
    <d v="1899-12-30T08:15:48"/>
    <d v="1899-12-30T05:00:37"/>
    <d v="1899-12-30T01:08:40"/>
    <n v="68"/>
    <n v="0.56195374478956595"/>
  </r>
  <r>
    <s v="Del_Salim (1008622)"/>
    <x v="110"/>
    <x v="105"/>
    <d v="1899-12-30T08:15:56"/>
    <d v="1899-12-30T04:37:42"/>
    <d v="1899-12-30T01:59:29"/>
    <n v="69"/>
    <n v="0.48780077967468699"/>
  </r>
  <r>
    <s v="Del_Sanjay Hire (1008623)"/>
    <x v="111"/>
    <x v="106"/>
    <d v="1899-12-30T08:15:52"/>
    <d v="1899-12-30T05:00:14"/>
    <d v="1899-12-30T01:09:43"/>
    <n v="70"/>
    <n v="0.55414762032804499"/>
  </r>
  <r>
    <s v="Del_Sanjiv Subherwal (1008624)"/>
    <x v="112"/>
    <x v="107"/>
    <d v="1899-12-30T08:02:17"/>
    <d v="1899-12-30T05:06:07"/>
    <d v="1899-12-30T01:10:15"/>
    <n v="71"/>
    <n v="0.58651553374572396"/>
  </r>
  <r>
    <s v="Del_Sanju Ramdas (1008625)"/>
    <x v="113"/>
    <x v="108"/>
    <d v="1899-12-30T08:15:58"/>
    <d v="1899-12-30T05:19:44"/>
    <d v="1899-12-30T01:13:56"/>
    <n v="72"/>
    <n v="0.58165871362322696"/>
  </r>
  <r>
    <s v="Del_Santosh Kumar (1008626)"/>
    <x v="114"/>
    <x v="109"/>
    <d v="1899-12-30T08:00:32"/>
    <d v="1899-12-30T05:03:10"/>
    <d v="1899-12-30T01:09:48"/>
    <n v="73"/>
    <n v="0.59073251942286398"/>
  </r>
  <r>
    <s v="Del_Santosh Kumar (1008627)"/>
    <x v="115"/>
    <x v="109"/>
    <d v="1899-12-30T08:17:04"/>
    <d v="1899-12-30T05:09:57"/>
    <d v="1899-12-30T01:10:58"/>
    <n v="74"/>
    <n v="0.58640692060085797"/>
  </r>
  <r>
    <s v="Del_Santosh Kumar (1008628)"/>
    <x v="116"/>
    <x v="109"/>
    <d v="1899-12-30T08:02:59"/>
    <d v="1899-12-30T04:44:19"/>
    <d v="1899-12-30T01:12:01"/>
    <n v="75"/>
    <n v="0.54653369681493502"/>
  </r>
  <r>
    <s v="Del_Sapna Sharma (1008629)"/>
    <x v="117"/>
    <x v="110"/>
    <d v="1899-12-30T08:04:14"/>
    <d v="1899-12-30T04:33:29"/>
    <d v="1899-12-30T01:32:37"/>
    <n v="76"/>
    <n v="0.53238796723342696"/>
  </r>
  <r>
    <s v="Del_Saroj Parita (1008630)"/>
    <x v="118"/>
    <x v="111"/>
    <d v="1899-12-30T08:01:59"/>
    <d v="1899-12-30T04:31:42"/>
    <d v="1899-12-30T01:45:37"/>
    <n v="77"/>
    <n v="0.47020989660776702"/>
  </r>
  <r>
    <s v="Del_Shailaja Kamal (1008631)"/>
    <x v="119"/>
    <x v="112"/>
    <d v="1899-12-30T08:09:14"/>
    <d v="1899-12-30T04:51:46"/>
    <d v="1899-12-30T01:08:46"/>
    <n v="78"/>
    <n v="0.54633099407235797"/>
  </r>
  <r>
    <s v="Del_Shailendra Barge (1008632)"/>
    <x v="120"/>
    <x v="113"/>
    <d v="1899-12-30T08:17:38"/>
    <d v="1899-12-30T03:26:09"/>
    <d v="1899-12-30T03:43:06"/>
    <n v="79"/>
    <n v="0.38820416638756799"/>
  </r>
  <r>
    <s v="Del_Shankar Attendant (1008633)"/>
    <x v="121"/>
    <x v="114"/>
    <d v="1899-12-30T07:57:56"/>
    <d v="1899-12-30T03:27:15"/>
    <d v="1899-12-30T03:15:05"/>
    <n v="80"/>
    <n v="0.40277584042404802"/>
  </r>
  <r>
    <s v="Del_Shashikant Tiwari (1008634)"/>
    <x v="122"/>
    <x v="115"/>
    <d v="1899-12-30T08:14:55"/>
    <d v="1899-12-30T05:19:10"/>
    <d v="1899-12-30T01:09:59"/>
    <n v="81"/>
    <n v="0.54352584610203702"/>
  </r>
  <r>
    <s v="Del_Sheeba Joseph (1008635)"/>
    <x v="123"/>
    <x v="116"/>
    <d v="1899-12-30T08:30:57"/>
    <d v="1899-12-30T03:41:07"/>
    <d v="1899-12-30T00:55:39"/>
    <n v="82"/>
    <n v="0.28371986821932998"/>
  </r>
  <r>
    <s v="Del_Sheena Joseph (1008636)"/>
    <x v="124"/>
    <x v="117"/>
    <d v="1899-12-30T08:49:34"/>
    <d v="1899-12-30T05:10:26"/>
    <d v="1899-12-30T01:41:30"/>
    <n v="83"/>
    <n v="0.56196890539434796"/>
  </r>
  <r>
    <s v="Del_Shephali Jain (1008637)"/>
    <x v="125"/>
    <x v="118"/>
    <d v="1899-12-30T08:25:43"/>
    <d v="1899-12-30T03:41:29"/>
    <d v="1899-12-30T03:23:49"/>
    <n v="84"/>
    <n v="0.40332201825791802"/>
  </r>
  <r>
    <s v="Del_Shivji Prasad (1008638)"/>
    <x v="126"/>
    <x v="119"/>
    <d v="1899-12-30T08:11:40"/>
    <d v="1899-12-30T04:12:39"/>
    <d v="1899-12-30T02:17:48"/>
    <n v="85"/>
    <n v="0.43796610169491501"/>
  </r>
  <r>
    <s v="Del_Shubhanjali Joshi (1008639)"/>
    <x v="127"/>
    <x v="120"/>
    <d v="1899-12-30T08:17:17"/>
    <d v="1899-12-30T04:54:52"/>
    <d v="1899-12-30T01:19:32"/>
    <n v="86"/>
    <n v="0.55581995508931903"/>
  </r>
  <r>
    <s v="Del_Shyamal Malakar (1008640)"/>
    <x v="128"/>
    <x v="121"/>
    <d v="1899-12-30T08:15:36"/>
    <d v="1899-12-30T02:53:35"/>
    <d v="1899-12-30T04:35:37"/>
    <n v="87"/>
    <n v="0.326035781544256"/>
  </r>
  <r>
    <s v="Del_Sneh Khan (1008641)"/>
    <x v="129"/>
    <x v="122"/>
    <d v="1899-12-30T08:09:15"/>
    <d v="1899-12-30T05:06:25"/>
    <d v="1899-12-30T01:09:51"/>
    <n v="88"/>
    <n v="0.57404190086867701"/>
  </r>
  <r>
    <s v="Del_Sonaram Munda (1008642)"/>
    <x v="130"/>
    <x v="123"/>
    <d v="1899-12-30T08:00:41"/>
    <d v="1899-12-30T04:11:10"/>
    <d v="1899-12-30T01:57:15"/>
    <n v="89"/>
    <n v="0.45359037481363301"/>
  </r>
  <r>
    <s v="Del_Sudama Kumar (1008643)"/>
    <x v="131"/>
    <x v="124"/>
    <d v="1899-12-30T08:09:47"/>
    <d v="1899-12-30T02:38:49"/>
    <d v="1899-12-30T04:36:20"/>
    <n v="90"/>
    <n v="0.29689998979140397"/>
  </r>
  <r>
    <s v="Del_Sudhir Kumar (1008644)"/>
    <x v="132"/>
    <x v="125"/>
    <d v="1899-12-30T08:00:18"/>
    <d v="1899-12-30T04:35:36"/>
    <d v="1899-12-30T01:14:24"/>
    <n v="91"/>
    <n v="0.55729058227496697"/>
  </r>
  <r>
    <s v="Del_Sunil Kumar (1008645)"/>
    <x v="133"/>
    <x v="126"/>
    <d v="1899-12-30T08:03:26"/>
    <d v="1899-12-30T02:58:37"/>
    <d v="1899-12-30T03:56:57"/>
    <n v="92"/>
    <n v="0.33279321519685601"/>
  </r>
  <r>
    <s v="Del_Sunil Kumar (1008646)"/>
    <x v="134"/>
    <x v="126"/>
    <d v="1899-12-30T08:05:06"/>
    <d v="1899-12-30T04:05:03"/>
    <d v="1899-12-30T02:16:51"/>
    <n v="93"/>
    <n v="0.472308115165258"/>
  </r>
  <r>
    <s v="Del_Sunita Chawla (1008647)"/>
    <x v="135"/>
    <x v="127"/>
    <d v="1899-12-30T08:05:25"/>
    <d v="1899-12-30T04:31:57"/>
    <d v="1899-12-30T02:06:43"/>
    <n v="94"/>
    <n v="0.51110729613733896"/>
  </r>
  <r>
    <s v="Del_Sunita Madnani (1008648)"/>
    <x v="136"/>
    <x v="128"/>
    <d v="1899-12-30T08:14:02"/>
    <d v="1899-12-30T05:19:12"/>
    <d v="1899-12-30T01:08:15"/>
    <n v="95"/>
    <n v="0.58886040078267299"/>
  </r>
  <r>
    <s v="Del_Surendra Kumar (1008649)"/>
    <x v="137"/>
    <x v="129"/>
    <d v="1899-12-30T07:29:10"/>
    <d v="1899-12-30T02:54:25"/>
    <d v="1899-12-30T03:46:52"/>
    <n v="96"/>
    <n v="0.34289424860853401"/>
  </r>
  <r>
    <s v="Del_Surendranath Thakur (1008650)"/>
    <x v="138"/>
    <x v="130"/>
    <d v="1899-12-30T08:33:53"/>
    <d v="1899-12-30T04:36:50"/>
    <d v="1899-12-30T02:17:05"/>
    <n v="97"/>
    <n v="0.497486459313074"/>
  </r>
  <r>
    <s v="Del_Sushma Khandelwal (1008651)"/>
    <x v="139"/>
    <x v="131"/>
    <d v="1899-12-30T08:15:15"/>
    <d v="1899-12-30T04:50:07"/>
    <d v="1899-12-30T01:10:21"/>
    <n v="98"/>
    <n v="0.52431431936732298"/>
  </r>
  <r>
    <s v="Del_Swarnlata Borse (1008652)"/>
    <x v="140"/>
    <x v="132"/>
    <d v="1899-12-30T08:19:05"/>
    <d v="1899-12-30T02:59:39"/>
    <d v="1899-12-30T04:32:37"/>
    <n v="99"/>
    <n v="0.31066956086157999"/>
  </r>
  <r>
    <s v="Del_Syed Naved (1008653)"/>
    <x v="141"/>
    <x v="133"/>
    <d v="1899-12-30T08:13:39"/>
    <d v="1899-12-30T05:24:05"/>
    <d v="1899-12-30T01:14:44"/>
    <n v="100"/>
    <n v="0.58462473412336702"/>
  </r>
  <r>
    <s v="Del_Syed Saqib (1008654)"/>
    <x v="142"/>
    <x v="134"/>
    <d v="1899-12-30T08:24:48"/>
    <d v="1899-12-30T02:52:08"/>
    <d v="1899-12-30T05:03:34"/>
    <n v="101"/>
    <n v="0.31685816164817698"/>
  </r>
  <r>
    <s v="Del_Syed Sohail (1008655)"/>
    <x v="143"/>
    <x v="135"/>
    <d v="1899-12-30T08:17:53"/>
    <d v="1899-12-30T04:51:52"/>
    <d v="1899-12-30T01:12:04"/>
    <n v="102"/>
    <n v="0.56375322197301903"/>
  </r>
  <r>
    <s v="Del_System Operator (1008656)"/>
    <x v="144"/>
    <x v="136"/>
    <d v="1899-12-30T08:30:54"/>
    <d v="1899-12-30T05:15:36"/>
    <d v="1899-12-30T00:56:05"/>
    <n v="103"/>
    <n v="0.54779147908918902"/>
  </r>
  <r>
    <s v="Del_Tahira Qureshi (1008657)"/>
    <x v="145"/>
    <x v="137"/>
    <d v="1899-12-30T08:46:13"/>
    <d v="1899-12-30T03:36:51"/>
    <d v="1899-12-30T04:02:30"/>
    <n v="104"/>
    <n v="0.37965983593576802"/>
  </r>
  <r>
    <s v="Del_Tapas Chakraborty (1008658)"/>
    <x v="146"/>
    <x v="138"/>
    <d v="1899-12-30T08:14:56"/>
    <d v="1899-12-30T05:15:14"/>
    <d v="1899-12-30T01:12:11"/>
    <n v="105"/>
    <n v="0.56529498922413801"/>
  </r>
  <r>
    <s v="Del_Tariq Akhlaq (1008659)"/>
    <x v="147"/>
    <x v="139"/>
    <d v="1899-12-30T04:59:55"/>
    <d v="1899-12-30T03:08:41"/>
    <d v="1899-12-30T00:15:03"/>
    <n v="106"/>
    <n v="0.60261183662128404"/>
  </r>
  <r>
    <s v="Del_Tasneem Khan (1008660)"/>
    <x v="148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 rowHeaderCaption="Employee ">
  <location ref="D9:E14" firstHeaderRow="1" firstDataRow="1" firstDataCol="1"/>
  <pivotFields count="8">
    <pivotField showAll="0"/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2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3" baseField="1" baseItem="85" numFmtId="166"/>
  </dataFields>
  <formats count="2">
    <format dxfId="1">
      <pivotArea field="2" type="button" dataOnly="0" labelOnly="1" outline="0" axis="axisRow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2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4" rowHeaderCaption="App. No.">
  <location ref="G9:H13" firstHeaderRow="1" firstDataRow="1" firstDataCol="1"/>
  <pivotFields count="8">
    <pivotField showAll="0"/>
    <pivotField axis="axisRow" showAll="0" measureFilter="1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t="default"/>
      </items>
    </pivotField>
    <pivotField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5"/>
    </i>
    <i>
      <x v="25"/>
    </i>
    <i>
      <x v="42"/>
    </i>
    <i>
      <x v="44"/>
    </i>
  </rowItems>
  <colItems count="1">
    <i/>
  </colItems>
  <dataFields count="1">
    <dataField name="Sum of Active With Cust." fld="7" baseField="1" baseItem="0" numFmtId="10"/>
  </dataFields>
  <formats count="2">
    <format dxfId="3">
      <pivotArea field="2" type="button" dataOnly="0" labelOnly="1" outline="0"/>
    </format>
    <format dxfId="2">
      <pivotArea dataOnly="0" labelOnly="1" outline="0" axis="axisValues" fieldPosition="0"/>
    </format>
  </format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count" evalOrder="-1" id="81" iMeasureFld="0">
      <autoFilter ref="A1">
        <filterColumn colId="0">
          <top10 val="4" filterVal="4"/>
        </filterColumn>
      </autoFilter>
    </filter>
    <filter fld="1" type="count" evalOrder="-1" id="93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topLeftCell="B1" zoomScale="145" zoomScaleNormal="145" workbookViewId="0">
      <selection activeCell="J4" sqref="J4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>
      <c r="A2" s="5" t="s">
        <v>854</v>
      </c>
      <c r="B2" s="8" t="s">
        <v>9</v>
      </c>
      <c r="C2" s="8" t="s">
        <v>10</v>
      </c>
      <c r="D2" s="8" t="s">
        <v>11</v>
      </c>
      <c r="E2" s="8" t="s">
        <v>11</v>
      </c>
      <c r="F2" s="8" t="s">
        <v>11</v>
      </c>
      <c r="G2" s="8" t="s">
        <v>11</v>
      </c>
      <c r="H2" s="8" t="s">
        <v>11</v>
      </c>
      <c r="I2" s="8" t="s">
        <v>12</v>
      </c>
    </row>
    <row r="3" spans="1:9">
      <c r="A3" s="5" t="s">
        <v>855</v>
      </c>
      <c r="B3" s="8" t="s">
        <v>13</v>
      </c>
      <c r="C3" s="8" t="s">
        <v>14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  <c r="I3" s="8" t="s">
        <v>15</v>
      </c>
    </row>
    <row r="4" spans="1:9">
      <c r="A4" s="5" t="s">
        <v>856</v>
      </c>
      <c r="B4" s="8" t="s">
        <v>16</v>
      </c>
      <c r="C4" s="8" t="s">
        <v>17</v>
      </c>
      <c r="D4" s="8" t="s">
        <v>11</v>
      </c>
      <c r="E4" s="8" t="s">
        <v>11</v>
      </c>
      <c r="F4" s="8" t="s">
        <v>11</v>
      </c>
      <c r="G4" s="8" t="s">
        <v>18</v>
      </c>
      <c r="H4" s="8" t="s">
        <v>11</v>
      </c>
      <c r="I4" s="8" t="s">
        <v>19</v>
      </c>
    </row>
    <row r="5" spans="1:9">
      <c r="A5" s="5" t="s">
        <v>857</v>
      </c>
      <c r="B5" s="8" t="s">
        <v>20</v>
      </c>
      <c r="C5" s="8" t="s">
        <v>21</v>
      </c>
      <c r="D5" s="8" t="s">
        <v>22</v>
      </c>
      <c r="E5" s="8" t="s">
        <v>11</v>
      </c>
      <c r="F5" s="8" t="s">
        <v>11</v>
      </c>
      <c r="G5" s="8" t="s">
        <v>11</v>
      </c>
      <c r="H5" s="8" t="s">
        <v>11</v>
      </c>
      <c r="I5" s="8" t="s">
        <v>23</v>
      </c>
    </row>
    <row r="6" spans="1:9">
      <c r="A6" s="5" t="s">
        <v>858</v>
      </c>
      <c r="B6" s="8" t="s">
        <v>11</v>
      </c>
      <c r="C6" s="8" t="s">
        <v>24</v>
      </c>
      <c r="D6" s="8" t="s">
        <v>11</v>
      </c>
      <c r="E6" s="8" t="s">
        <v>11</v>
      </c>
      <c r="F6" s="8" t="s">
        <v>25</v>
      </c>
      <c r="G6" s="8" t="s">
        <v>11</v>
      </c>
      <c r="H6" s="8" t="s">
        <v>26</v>
      </c>
      <c r="I6" s="8" t="s">
        <v>27</v>
      </c>
    </row>
    <row r="7" spans="1:9">
      <c r="A7" s="5" t="s">
        <v>859</v>
      </c>
      <c r="B7" s="8" t="s">
        <v>11</v>
      </c>
      <c r="C7" s="8" t="s">
        <v>28</v>
      </c>
      <c r="D7" s="8" t="s">
        <v>11</v>
      </c>
      <c r="E7" s="8" t="s">
        <v>11</v>
      </c>
      <c r="F7" s="8" t="s">
        <v>11</v>
      </c>
      <c r="G7" s="8" t="s">
        <v>29</v>
      </c>
      <c r="H7" s="8" t="s">
        <v>11</v>
      </c>
      <c r="I7" s="8" t="s">
        <v>30</v>
      </c>
    </row>
    <row r="8" spans="1:9">
      <c r="A8" s="5" t="s">
        <v>860</v>
      </c>
      <c r="B8" s="8" t="s">
        <v>31</v>
      </c>
      <c r="C8" s="8" t="s">
        <v>32</v>
      </c>
      <c r="D8" s="8" t="s">
        <v>11</v>
      </c>
      <c r="E8" s="8" t="s">
        <v>11</v>
      </c>
      <c r="F8" s="8" t="s">
        <v>11</v>
      </c>
      <c r="G8" s="8" t="s">
        <v>11</v>
      </c>
      <c r="H8" s="8" t="s">
        <v>33</v>
      </c>
      <c r="I8" s="8" t="s">
        <v>34</v>
      </c>
    </row>
    <row r="9" spans="1:9">
      <c r="A9" s="5" t="s">
        <v>861</v>
      </c>
      <c r="B9" s="8" t="s">
        <v>35</v>
      </c>
      <c r="C9" s="8" t="s">
        <v>36</v>
      </c>
      <c r="D9" s="8" t="s">
        <v>11</v>
      </c>
      <c r="E9" s="8" t="s">
        <v>11</v>
      </c>
      <c r="F9" s="8" t="s">
        <v>11</v>
      </c>
      <c r="G9" s="8" t="s">
        <v>11</v>
      </c>
      <c r="H9" s="8" t="s">
        <v>11</v>
      </c>
      <c r="I9" s="8" t="s">
        <v>37</v>
      </c>
    </row>
    <row r="10" spans="1:9">
      <c r="A10" s="5" t="s">
        <v>862</v>
      </c>
      <c r="B10" s="8" t="s">
        <v>38</v>
      </c>
      <c r="C10" s="8" t="s">
        <v>39</v>
      </c>
      <c r="D10" s="8" t="s">
        <v>11</v>
      </c>
      <c r="E10" s="8" t="s">
        <v>11</v>
      </c>
      <c r="F10" s="8" t="s">
        <v>11</v>
      </c>
      <c r="G10" s="8" t="s">
        <v>11</v>
      </c>
      <c r="H10" s="8" t="s">
        <v>11</v>
      </c>
      <c r="I10" s="8" t="s">
        <v>40</v>
      </c>
    </row>
    <row r="11" spans="1:9">
      <c r="A11" s="5" t="s">
        <v>863</v>
      </c>
      <c r="B11" s="8" t="s">
        <v>41</v>
      </c>
      <c r="C11" s="8" t="s">
        <v>42</v>
      </c>
      <c r="D11" s="8" t="s">
        <v>11</v>
      </c>
      <c r="E11" s="8" t="s">
        <v>11</v>
      </c>
      <c r="F11" s="8" t="s">
        <v>11</v>
      </c>
      <c r="G11" s="8" t="s">
        <v>11</v>
      </c>
      <c r="H11" s="8" t="s">
        <v>11</v>
      </c>
      <c r="I11" s="8" t="s">
        <v>43</v>
      </c>
    </row>
    <row r="12" spans="1:9">
      <c r="A12" s="5" t="s">
        <v>864</v>
      </c>
      <c r="B12" s="8" t="s">
        <v>44</v>
      </c>
      <c r="C12" s="8" t="s">
        <v>45</v>
      </c>
      <c r="D12" s="8" t="s">
        <v>11</v>
      </c>
      <c r="E12" s="8" t="s">
        <v>11</v>
      </c>
      <c r="F12" s="8" t="s">
        <v>11</v>
      </c>
      <c r="G12" s="8" t="s">
        <v>11</v>
      </c>
      <c r="H12" s="8" t="s">
        <v>11</v>
      </c>
      <c r="I12" s="8" t="s">
        <v>46</v>
      </c>
    </row>
    <row r="13" spans="1:9">
      <c r="A13" s="5" t="s">
        <v>865</v>
      </c>
      <c r="B13" s="8" t="s">
        <v>47</v>
      </c>
      <c r="C13" s="8" t="s">
        <v>42</v>
      </c>
      <c r="D13" s="8" t="s">
        <v>11</v>
      </c>
      <c r="E13" s="8" t="s">
        <v>48</v>
      </c>
      <c r="F13" s="8" t="s">
        <v>10</v>
      </c>
      <c r="G13" s="8" t="s">
        <v>49</v>
      </c>
      <c r="H13" s="8" t="s">
        <v>11</v>
      </c>
      <c r="I13" s="8" t="s">
        <v>50</v>
      </c>
    </row>
    <row r="14" spans="1:9">
      <c r="A14" s="5" t="s">
        <v>866</v>
      </c>
      <c r="B14" s="8" t="s">
        <v>51</v>
      </c>
      <c r="C14" s="8" t="s">
        <v>52</v>
      </c>
      <c r="D14" s="8" t="s">
        <v>11</v>
      </c>
      <c r="E14" s="8" t="s">
        <v>53</v>
      </c>
      <c r="F14" s="8" t="s">
        <v>11</v>
      </c>
      <c r="G14" s="8" t="s">
        <v>11</v>
      </c>
      <c r="H14" s="8" t="s">
        <v>11</v>
      </c>
      <c r="I14" s="8" t="s">
        <v>54</v>
      </c>
    </row>
    <row r="15" spans="1:9">
      <c r="A15" s="5" t="s">
        <v>867</v>
      </c>
      <c r="B15" s="8" t="s">
        <v>55</v>
      </c>
      <c r="C15" s="8" t="s">
        <v>56</v>
      </c>
      <c r="D15" s="8" t="s">
        <v>11</v>
      </c>
      <c r="E15" s="8" t="s">
        <v>11</v>
      </c>
      <c r="F15" s="8" t="s">
        <v>11</v>
      </c>
      <c r="G15" s="8" t="s">
        <v>11</v>
      </c>
      <c r="H15" s="8" t="s">
        <v>11</v>
      </c>
      <c r="I15" s="8" t="s">
        <v>57</v>
      </c>
    </row>
    <row r="16" spans="1:9">
      <c r="A16" s="5" t="s">
        <v>868</v>
      </c>
      <c r="B16" s="8" t="s">
        <v>58</v>
      </c>
      <c r="C16" s="8" t="s">
        <v>17</v>
      </c>
      <c r="D16" s="8" t="s">
        <v>11</v>
      </c>
      <c r="E16" s="8" t="s">
        <v>11</v>
      </c>
      <c r="F16" s="8" t="s">
        <v>11</v>
      </c>
      <c r="G16" s="8" t="s">
        <v>59</v>
      </c>
      <c r="H16" s="8" t="s">
        <v>11</v>
      </c>
      <c r="I16" s="8" t="s">
        <v>60</v>
      </c>
    </row>
    <row r="17" spans="1:9">
      <c r="A17" s="5" t="s">
        <v>869</v>
      </c>
      <c r="B17" s="8" t="s">
        <v>61</v>
      </c>
      <c r="C17" s="8" t="s">
        <v>62</v>
      </c>
      <c r="D17" s="8" t="s">
        <v>63</v>
      </c>
      <c r="E17" s="8" t="s">
        <v>11</v>
      </c>
      <c r="F17" s="8" t="s">
        <v>11</v>
      </c>
      <c r="G17" s="8" t="s">
        <v>11</v>
      </c>
      <c r="H17" s="8" t="s">
        <v>11</v>
      </c>
      <c r="I17" s="8" t="s">
        <v>64</v>
      </c>
    </row>
    <row r="18" spans="1:9">
      <c r="A18" s="5" t="s">
        <v>870</v>
      </c>
      <c r="B18" s="8" t="s">
        <v>65</v>
      </c>
      <c r="C18" s="8" t="s">
        <v>66</v>
      </c>
      <c r="D18" s="8" t="s">
        <v>11</v>
      </c>
      <c r="E18" s="8" t="s">
        <v>11</v>
      </c>
      <c r="F18" s="8" t="s">
        <v>11</v>
      </c>
      <c r="G18" s="8" t="s">
        <v>11</v>
      </c>
      <c r="H18" s="8" t="s">
        <v>11</v>
      </c>
      <c r="I18" s="8" t="s">
        <v>67</v>
      </c>
    </row>
    <row r="19" spans="1:9">
      <c r="A19" s="5" t="s">
        <v>871</v>
      </c>
      <c r="B19" s="8" t="s">
        <v>68</v>
      </c>
      <c r="C19" s="8" t="s">
        <v>32</v>
      </c>
      <c r="D19" s="8" t="s">
        <v>11</v>
      </c>
      <c r="E19" s="8" t="s">
        <v>11</v>
      </c>
      <c r="F19" s="8" t="s">
        <v>11</v>
      </c>
      <c r="G19" s="8" t="s">
        <v>11</v>
      </c>
      <c r="H19" s="8" t="s">
        <v>11</v>
      </c>
      <c r="I19" s="8" t="s">
        <v>69</v>
      </c>
    </row>
    <row r="20" spans="1:9">
      <c r="A20" s="5" t="s">
        <v>872</v>
      </c>
      <c r="B20" s="8" t="s">
        <v>70</v>
      </c>
      <c r="C20" s="8" t="s">
        <v>71</v>
      </c>
      <c r="D20" s="8" t="s">
        <v>11</v>
      </c>
      <c r="E20" s="8" t="s">
        <v>72</v>
      </c>
      <c r="F20" s="8" t="s">
        <v>73</v>
      </c>
      <c r="G20" s="8" t="s">
        <v>11</v>
      </c>
      <c r="H20" s="8" t="s">
        <v>11</v>
      </c>
      <c r="I20" s="8" t="s">
        <v>74</v>
      </c>
    </row>
    <row r="21" spans="1:9">
      <c r="A21" s="5" t="s">
        <v>873</v>
      </c>
      <c r="B21" s="8" t="s">
        <v>75</v>
      </c>
      <c r="C21" s="8" t="s">
        <v>76</v>
      </c>
      <c r="D21" s="8" t="s">
        <v>11</v>
      </c>
      <c r="E21" s="8" t="s">
        <v>11</v>
      </c>
      <c r="F21" s="8" t="s">
        <v>11</v>
      </c>
      <c r="G21" s="8" t="s">
        <v>77</v>
      </c>
      <c r="H21" s="8" t="s">
        <v>11</v>
      </c>
      <c r="I21" s="8" t="s">
        <v>78</v>
      </c>
    </row>
    <row r="22" spans="1:9">
      <c r="A22" s="5" t="s">
        <v>874</v>
      </c>
      <c r="B22" s="8" t="s">
        <v>79</v>
      </c>
      <c r="C22" s="8" t="s">
        <v>80</v>
      </c>
      <c r="D22" s="8" t="s">
        <v>11</v>
      </c>
      <c r="E22" s="8" t="s">
        <v>11</v>
      </c>
      <c r="F22" s="8" t="s">
        <v>11</v>
      </c>
      <c r="G22" s="8" t="s">
        <v>11</v>
      </c>
      <c r="H22" s="8" t="s">
        <v>11</v>
      </c>
      <c r="I22" s="8" t="s">
        <v>81</v>
      </c>
    </row>
    <row r="23" spans="1:9">
      <c r="A23" s="5" t="s">
        <v>875</v>
      </c>
      <c r="B23" s="8" t="s">
        <v>82</v>
      </c>
      <c r="C23" s="8" t="s">
        <v>83</v>
      </c>
      <c r="D23" s="8" t="s">
        <v>11</v>
      </c>
      <c r="E23" s="8" t="s">
        <v>11</v>
      </c>
      <c r="F23" s="8" t="s">
        <v>11</v>
      </c>
      <c r="G23" s="8" t="s">
        <v>11</v>
      </c>
      <c r="H23" s="8" t="s">
        <v>11</v>
      </c>
      <c r="I23" s="8" t="s">
        <v>84</v>
      </c>
    </row>
    <row r="24" spans="1:9">
      <c r="A24" s="5" t="s">
        <v>876</v>
      </c>
      <c r="B24" s="8" t="s">
        <v>85</v>
      </c>
      <c r="C24" s="8" t="s">
        <v>86</v>
      </c>
      <c r="D24" s="8" t="s">
        <v>87</v>
      </c>
      <c r="E24" s="8" t="s">
        <v>11</v>
      </c>
      <c r="F24" s="8" t="s">
        <v>11</v>
      </c>
      <c r="G24" s="8" t="s">
        <v>11</v>
      </c>
      <c r="H24" s="8" t="s">
        <v>11</v>
      </c>
      <c r="I24" s="8" t="s">
        <v>88</v>
      </c>
    </row>
    <row r="25" spans="1:9">
      <c r="A25" s="5" t="s">
        <v>877</v>
      </c>
      <c r="B25" s="8" t="s">
        <v>89</v>
      </c>
      <c r="C25" s="8" t="s">
        <v>90</v>
      </c>
      <c r="D25" s="8" t="s">
        <v>11</v>
      </c>
      <c r="E25" s="8" t="s">
        <v>91</v>
      </c>
      <c r="F25" s="8" t="s">
        <v>11</v>
      </c>
      <c r="G25" s="8" t="s">
        <v>11</v>
      </c>
      <c r="H25" s="8" t="s">
        <v>11</v>
      </c>
      <c r="I25" s="8" t="s">
        <v>92</v>
      </c>
    </row>
    <row r="26" spans="1:9">
      <c r="A26" s="5" t="s">
        <v>878</v>
      </c>
      <c r="B26" s="8" t="s">
        <v>93</v>
      </c>
      <c r="C26" s="8" t="s">
        <v>94</v>
      </c>
      <c r="D26" s="8" t="s">
        <v>11</v>
      </c>
      <c r="E26" s="8" t="s">
        <v>11</v>
      </c>
      <c r="F26" s="8" t="s">
        <v>11</v>
      </c>
      <c r="G26" s="8" t="s">
        <v>11</v>
      </c>
      <c r="H26" s="8" t="s">
        <v>11</v>
      </c>
      <c r="I26" s="8" t="s">
        <v>95</v>
      </c>
    </row>
    <row r="27" spans="1:9">
      <c r="A27" s="5" t="s">
        <v>879</v>
      </c>
      <c r="B27" s="8" t="s">
        <v>11</v>
      </c>
      <c r="C27" s="8" t="s">
        <v>96</v>
      </c>
      <c r="D27" s="8" t="s">
        <v>11</v>
      </c>
      <c r="E27" s="8" t="s">
        <v>11</v>
      </c>
      <c r="F27" s="8" t="s">
        <v>11</v>
      </c>
      <c r="G27" s="8" t="s">
        <v>11</v>
      </c>
      <c r="H27" s="8" t="s">
        <v>11</v>
      </c>
      <c r="I27" s="8" t="s">
        <v>97</v>
      </c>
    </row>
    <row r="28" spans="1:9">
      <c r="A28" s="5" t="s">
        <v>880</v>
      </c>
      <c r="B28" s="8" t="s">
        <v>98</v>
      </c>
      <c r="C28" s="8" t="s">
        <v>99</v>
      </c>
      <c r="D28" s="8" t="s">
        <v>11</v>
      </c>
      <c r="E28" s="8" t="s">
        <v>11</v>
      </c>
      <c r="F28" s="8" t="s">
        <v>11</v>
      </c>
      <c r="G28" s="8" t="s">
        <v>11</v>
      </c>
      <c r="H28" s="8" t="s">
        <v>11</v>
      </c>
      <c r="I28" s="8" t="s">
        <v>100</v>
      </c>
    </row>
    <row r="29" spans="1:9">
      <c r="A29" s="5" t="s">
        <v>881</v>
      </c>
      <c r="B29" s="8" t="s">
        <v>101</v>
      </c>
      <c r="C29" s="8" t="s">
        <v>102</v>
      </c>
      <c r="D29" s="8" t="s">
        <v>11</v>
      </c>
      <c r="E29" s="8" t="s">
        <v>11</v>
      </c>
      <c r="F29" s="8" t="s">
        <v>11</v>
      </c>
      <c r="G29" s="8" t="s">
        <v>11</v>
      </c>
      <c r="H29" s="8" t="s">
        <v>11</v>
      </c>
      <c r="I29" s="8" t="s">
        <v>103</v>
      </c>
    </row>
    <row r="30" spans="1:9">
      <c r="A30" s="5" t="s">
        <v>882</v>
      </c>
      <c r="B30" s="8" t="s">
        <v>104</v>
      </c>
      <c r="C30" s="8" t="s">
        <v>105</v>
      </c>
      <c r="D30" s="8" t="s">
        <v>11</v>
      </c>
      <c r="E30" s="8" t="s">
        <v>106</v>
      </c>
      <c r="F30" s="8" t="s">
        <v>107</v>
      </c>
      <c r="G30" s="8" t="s">
        <v>11</v>
      </c>
      <c r="H30" s="8" t="s">
        <v>11</v>
      </c>
      <c r="I30" s="8" t="s">
        <v>108</v>
      </c>
    </row>
    <row r="31" spans="1:9">
      <c r="A31" s="5" t="s">
        <v>883</v>
      </c>
      <c r="B31" s="8" t="s">
        <v>11</v>
      </c>
      <c r="C31" s="8" t="s">
        <v>109</v>
      </c>
      <c r="D31" s="8" t="s">
        <v>11</v>
      </c>
      <c r="E31" s="8" t="s">
        <v>11</v>
      </c>
      <c r="F31" s="8" t="s">
        <v>110</v>
      </c>
      <c r="G31" s="8" t="s">
        <v>111</v>
      </c>
      <c r="H31" s="8" t="s">
        <v>11</v>
      </c>
      <c r="I31" s="8" t="s">
        <v>112</v>
      </c>
    </row>
    <row r="32" spans="1:9">
      <c r="A32" s="5" t="s">
        <v>884</v>
      </c>
      <c r="B32" s="8" t="s">
        <v>89</v>
      </c>
      <c r="C32" s="8" t="s">
        <v>113</v>
      </c>
      <c r="D32" s="8" t="s">
        <v>11</v>
      </c>
      <c r="E32" s="8" t="s">
        <v>11</v>
      </c>
      <c r="F32" s="8" t="s">
        <v>11</v>
      </c>
      <c r="G32" s="8" t="s">
        <v>11</v>
      </c>
      <c r="H32" s="8" t="s">
        <v>11</v>
      </c>
      <c r="I32" s="8" t="s">
        <v>46</v>
      </c>
    </row>
    <row r="33" spans="1:9">
      <c r="A33" s="5" t="s">
        <v>885</v>
      </c>
      <c r="B33" s="8" t="s">
        <v>114</v>
      </c>
      <c r="C33" s="8" t="s">
        <v>115</v>
      </c>
      <c r="D33" s="8" t="s">
        <v>11</v>
      </c>
      <c r="E33" s="8" t="s">
        <v>116</v>
      </c>
      <c r="F33" s="8" t="s">
        <v>11</v>
      </c>
      <c r="G33" s="8" t="s">
        <v>11</v>
      </c>
      <c r="H33" s="8" t="s">
        <v>11</v>
      </c>
      <c r="I33" s="8" t="s">
        <v>117</v>
      </c>
    </row>
    <row r="34" spans="1:9">
      <c r="A34" s="5" t="s">
        <v>886</v>
      </c>
      <c r="B34" s="8" t="s">
        <v>61</v>
      </c>
      <c r="C34" s="8" t="s">
        <v>118</v>
      </c>
      <c r="D34" s="8" t="s">
        <v>11</v>
      </c>
      <c r="E34" s="8" t="s">
        <v>11</v>
      </c>
      <c r="F34" s="8" t="s">
        <v>11</v>
      </c>
      <c r="G34" s="8" t="s">
        <v>11</v>
      </c>
      <c r="H34" s="8" t="s">
        <v>11</v>
      </c>
      <c r="I34" s="8" t="s">
        <v>119</v>
      </c>
    </row>
    <row r="35" spans="1:9">
      <c r="A35" s="5" t="s">
        <v>887</v>
      </c>
      <c r="B35" s="8" t="s">
        <v>120</v>
      </c>
      <c r="C35" s="8" t="s">
        <v>121</v>
      </c>
      <c r="D35" s="8" t="s">
        <v>11</v>
      </c>
      <c r="E35" s="8" t="s">
        <v>11</v>
      </c>
      <c r="F35" s="8" t="s">
        <v>11</v>
      </c>
      <c r="G35" s="8" t="s">
        <v>11</v>
      </c>
      <c r="H35" s="8" t="s">
        <v>11</v>
      </c>
      <c r="I35" s="8" t="s">
        <v>122</v>
      </c>
    </row>
    <row r="36" spans="1:9">
      <c r="A36" s="5" t="s">
        <v>888</v>
      </c>
      <c r="B36" s="8" t="s">
        <v>11</v>
      </c>
      <c r="C36" s="8" t="s">
        <v>123</v>
      </c>
      <c r="D36" s="8" t="s">
        <v>124</v>
      </c>
      <c r="E36" s="8" t="s">
        <v>11</v>
      </c>
      <c r="F36" s="8" t="s">
        <v>11</v>
      </c>
      <c r="G36" s="8" t="s">
        <v>11</v>
      </c>
      <c r="H36" s="8" t="s">
        <v>11</v>
      </c>
      <c r="I36" s="8" t="s">
        <v>125</v>
      </c>
    </row>
    <row r="37" spans="1:9">
      <c r="A37" s="5" t="s">
        <v>889</v>
      </c>
      <c r="B37" s="8" t="s">
        <v>126</v>
      </c>
      <c r="C37" s="8" t="s">
        <v>127</v>
      </c>
      <c r="D37" s="8" t="s">
        <v>11</v>
      </c>
      <c r="E37" s="8" t="s">
        <v>128</v>
      </c>
      <c r="F37" s="8" t="s">
        <v>129</v>
      </c>
      <c r="G37" s="8" t="s">
        <v>11</v>
      </c>
      <c r="H37" s="8" t="s">
        <v>11</v>
      </c>
      <c r="I37" s="8" t="s">
        <v>130</v>
      </c>
    </row>
    <row r="38" spans="1:9">
      <c r="A38" s="5" t="s">
        <v>890</v>
      </c>
      <c r="B38" s="8" t="s">
        <v>131</v>
      </c>
      <c r="C38" s="8" t="s">
        <v>132</v>
      </c>
      <c r="D38" s="8" t="s">
        <v>11</v>
      </c>
      <c r="E38" s="8" t="s">
        <v>11</v>
      </c>
      <c r="F38" s="8" t="s">
        <v>11</v>
      </c>
      <c r="G38" s="8" t="s">
        <v>11</v>
      </c>
      <c r="H38" s="8" t="s">
        <v>11</v>
      </c>
      <c r="I38" s="8" t="s">
        <v>133</v>
      </c>
    </row>
    <row r="39" spans="1:9">
      <c r="A39" s="5" t="s">
        <v>891</v>
      </c>
      <c r="B39" s="8" t="s">
        <v>13</v>
      </c>
      <c r="C39" s="8" t="s">
        <v>17</v>
      </c>
      <c r="D39" s="8" t="s">
        <v>11</v>
      </c>
      <c r="E39" s="8" t="s">
        <v>11</v>
      </c>
      <c r="F39" s="8" t="s">
        <v>11</v>
      </c>
      <c r="G39" s="8" t="s">
        <v>11</v>
      </c>
      <c r="H39" s="8" t="s">
        <v>11</v>
      </c>
      <c r="I39" s="8" t="s">
        <v>134</v>
      </c>
    </row>
    <row r="40" spans="1:9">
      <c r="A40" s="5" t="s">
        <v>892</v>
      </c>
      <c r="B40" s="8" t="s">
        <v>135</v>
      </c>
      <c r="C40" s="8" t="s">
        <v>136</v>
      </c>
      <c r="D40" s="8" t="s">
        <v>11</v>
      </c>
      <c r="E40" s="8" t="s">
        <v>11</v>
      </c>
      <c r="F40" s="8" t="s">
        <v>11</v>
      </c>
      <c r="G40" s="8" t="s">
        <v>11</v>
      </c>
      <c r="H40" s="8" t="s">
        <v>11</v>
      </c>
      <c r="I40" s="8" t="s">
        <v>137</v>
      </c>
    </row>
    <row r="41" spans="1:9">
      <c r="A41" s="5" t="s">
        <v>893</v>
      </c>
      <c r="B41" s="8" t="s">
        <v>138</v>
      </c>
      <c r="C41" s="8" t="s">
        <v>139</v>
      </c>
      <c r="D41" s="8" t="s">
        <v>11</v>
      </c>
      <c r="E41" s="8" t="s">
        <v>11</v>
      </c>
      <c r="F41" s="8" t="s">
        <v>11</v>
      </c>
      <c r="G41" s="8" t="s">
        <v>11</v>
      </c>
      <c r="H41" s="8" t="s">
        <v>11</v>
      </c>
      <c r="I41" s="8" t="s">
        <v>140</v>
      </c>
    </row>
    <row r="42" spans="1:9">
      <c r="A42" s="5" t="s">
        <v>894</v>
      </c>
      <c r="B42" s="8" t="s">
        <v>141</v>
      </c>
      <c r="C42" s="8" t="s">
        <v>142</v>
      </c>
      <c r="D42" s="8" t="s">
        <v>11</v>
      </c>
      <c r="E42" s="8" t="s">
        <v>11</v>
      </c>
      <c r="F42" s="8" t="s">
        <v>11</v>
      </c>
      <c r="G42" s="8" t="s">
        <v>11</v>
      </c>
      <c r="H42" s="8" t="s">
        <v>11</v>
      </c>
      <c r="I42" s="8" t="s">
        <v>143</v>
      </c>
    </row>
    <row r="43" spans="1:9">
      <c r="A43" s="5" t="s">
        <v>895</v>
      </c>
      <c r="B43" s="8" t="s">
        <v>144</v>
      </c>
      <c r="C43" s="8" t="s">
        <v>145</v>
      </c>
      <c r="D43" s="8" t="s">
        <v>11</v>
      </c>
      <c r="E43" s="8" t="s">
        <v>11</v>
      </c>
      <c r="F43" s="8" t="s">
        <v>146</v>
      </c>
      <c r="G43" s="8" t="s">
        <v>11</v>
      </c>
      <c r="H43" s="8" t="s">
        <v>11</v>
      </c>
      <c r="I43" s="8" t="s">
        <v>147</v>
      </c>
    </row>
    <row r="44" spans="1:9">
      <c r="A44" s="5" t="s">
        <v>896</v>
      </c>
      <c r="B44" s="8" t="s">
        <v>11</v>
      </c>
      <c r="C44" s="8" t="s">
        <v>148</v>
      </c>
      <c r="D44" s="8" t="s">
        <v>11</v>
      </c>
      <c r="E44" s="8" t="s">
        <v>11</v>
      </c>
      <c r="F44" s="8" t="s">
        <v>11</v>
      </c>
      <c r="G44" s="8" t="s">
        <v>11</v>
      </c>
      <c r="H44" s="8" t="s">
        <v>11</v>
      </c>
      <c r="I44" s="8" t="s">
        <v>149</v>
      </c>
    </row>
    <row r="45" spans="1:9">
      <c r="A45" s="5" t="s">
        <v>897</v>
      </c>
      <c r="B45" s="8" t="s">
        <v>150</v>
      </c>
      <c r="C45" s="8" t="s">
        <v>32</v>
      </c>
      <c r="D45" s="8" t="s">
        <v>11</v>
      </c>
      <c r="E45" s="8" t="s">
        <v>11</v>
      </c>
      <c r="F45" s="8" t="s">
        <v>11</v>
      </c>
      <c r="G45" s="8" t="s">
        <v>151</v>
      </c>
      <c r="H45" s="8" t="s">
        <v>11</v>
      </c>
      <c r="I45" s="8" t="s">
        <v>152</v>
      </c>
    </row>
    <row r="46" spans="1:9">
      <c r="A46" s="5" t="s">
        <v>898</v>
      </c>
      <c r="B46" s="8" t="s">
        <v>153</v>
      </c>
      <c r="C46" s="8" t="s">
        <v>154</v>
      </c>
      <c r="D46" s="8" t="s">
        <v>11</v>
      </c>
      <c r="E46" s="8" t="s">
        <v>11</v>
      </c>
      <c r="F46" s="8" t="s">
        <v>11</v>
      </c>
      <c r="G46" s="8" t="s">
        <v>11</v>
      </c>
      <c r="H46" s="8" t="s">
        <v>11</v>
      </c>
      <c r="I46" s="8" t="s">
        <v>155</v>
      </c>
    </row>
    <row r="47" spans="1:9">
      <c r="A47" s="5" t="s">
        <v>899</v>
      </c>
      <c r="B47" s="8" t="s">
        <v>156</v>
      </c>
      <c r="C47" s="8" t="s">
        <v>157</v>
      </c>
      <c r="D47" s="8" t="s">
        <v>158</v>
      </c>
      <c r="E47" s="8" t="s">
        <v>11</v>
      </c>
      <c r="F47" s="8" t="s">
        <v>11</v>
      </c>
      <c r="G47" s="8" t="s">
        <v>11</v>
      </c>
      <c r="H47" s="8" t="s">
        <v>11</v>
      </c>
      <c r="I47" s="8" t="s">
        <v>159</v>
      </c>
    </row>
    <row r="48" spans="1:9">
      <c r="A48" s="5" t="s">
        <v>900</v>
      </c>
      <c r="B48" s="8" t="s">
        <v>114</v>
      </c>
      <c r="C48" s="8" t="s">
        <v>157</v>
      </c>
      <c r="D48" s="8" t="s">
        <v>11</v>
      </c>
      <c r="E48" s="8" t="s">
        <v>11</v>
      </c>
      <c r="F48" s="8" t="s">
        <v>11</v>
      </c>
      <c r="G48" s="8" t="s">
        <v>11</v>
      </c>
      <c r="H48" s="8" t="s">
        <v>11</v>
      </c>
      <c r="I48" s="8" t="s">
        <v>160</v>
      </c>
    </row>
    <row r="49" spans="1:9">
      <c r="A49" s="5" t="s">
        <v>901</v>
      </c>
      <c r="B49" s="8" t="s">
        <v>68</v>
      </c>
      <c r="C49" s="8" t="s">
        <v>161</v>
      </c>
      <c r="D49" s="8" t="s">
        <v>11</v>
      </c>
      <c r="E49" s="8" t="s">
        <v>11</v>
      </c>
      <c r="F49" s="8" t="s">
        <v>11</v>
      </c>
      <c r="G49" s="8" t="s">
        <v>11</v>
      </c>
      <c r="H49" s="8" t="s">
        <v>11</v>
      </c>
      <c r="I49" s="8" t="s">
        <v>152</v>
      </c>
    </row>
    <row r="50" spans="1:9">
      <c r="A50" s="5" t="s">
        <v>902</v>
      </c>
      <c r="B50" s="8" t="s">
        <v>85</v>
      </c>
      <c r="C50" s="8" t="s">
        <v>162</v>
      </c>
      <c r="D50" s="8" t="s">
        <v>11</v>
      </c>
      <c r="E50" s="8" t="s">
        <v>11</v>
      </c>
      <c r="F50" s="8" t="s">
        <v>11</v>
      </c>
      <c r="G50" s="8" t="s">
        <v>11</v>
      </c>
      <c r="H50" s="8" t="s">
        <v>11</v>
      </c>
      <c r="I50" s="8" t="s">
        <v>163</v>
      </c>
    </row>
    <row r="51" spans="1:9">
      <c r="A51" s="5" t="s">
        <v>903</v>
      </c>
      <c r="B51" s="8" t="s">
        <v>11</v>
      </c>
      <c r="C51" s="8" t="s">
        <v>164</v>
      </c>
      <c r="D51" s="8" t="s">
        <v>11</v>
      </c>
      <c r="E51" s="8" t="s">
        <v>11</v>
      </c>
      <c r="F51" s="8" t="s">
        <v>11</v>
      </c>
      <c r="G51" s="8" t="s">
        <v>165</v>
      </c>
      <c r="H51" s="8" t="s">
        <v>11</v>
      </c>
      <c r="I51" s="8" t="s">
        <v>166</v>
      </c>
    </row>
    <row r="52" spans="1:9">
      <c r="A52" s="5" t="s">
        <v>904</v>
      </c>
      <c r="B52" s="8" t="s">
        <v>167</v>
      </c>
      <c r="C52" s="8" t="s">
        <v>168</v>
      </c>
      <c r="D52" s="8" t="s">
        <v>11</v>
      </c>
      <c r="E52" s="8" t="s">
        <v>11</v>
      </c>
      <c r="F52" s="8" t="s">
        <v>11</v>
      </c>
      <c r="G52" s="8" t="s">
        <v>169</v>
      </c>
      <c r="H52" s="8" t="s">
        <v>11</v>
      </c>
      <c r="I52" s="8" t="s">
        <v>170</v>
      </c>
    </row>
    <row r="53" spans="1:9">
      <c r="A53" s="5" t="s">
        <v>905</v>
      </c>
      <c r="B53" s="8" t="s">
        <v>31</v>
      </c>
      <c r="C53" s="8" t="s">
        <v>99</v>
      </c>
      <c r="D53" s="8" t="s">
        <v>11</v>
      </c>
      <c r="E53" s="8" t="s">
        <v>11</v>
      </c>
      <c r="F53" s="8" t="s">
        <v>11</v>
      </c>
      <c r="G53" s="8" t="s">
        <v>11</v>
      </c>
      <c r="H53" s="8" t="s">
        <v>11</v>
      </c>
      <c r="I53" s="8" t="s">
        <v>171</v>
      </c>
    </row>
    <row r="54" spans="1:9">
      <c r="A54" s="5" t="s">
        <v>906</v>
      </c>
      <c r="B54" s="8" t="s">
        <v>172</v>
      </c>
      <c r="C54" s="8" t="s">
        <v>32</v>
      </c>
      <c r="D54" s="8" t="s">
        <v>11</v>
      </c>
      <c r="E54" s="8" t="s">
        <v>11</v>
      </c>
      <c r="F54" s="8" t="s">
        <v>11</v>
      </c>
      <c r="G54" s="8" t="s">
        <v>11</v>
      </c>
      <c r="H54" s="8" t="s">
        <v>11</v>
      </c>
      <c r="I54" s="8" t="s">
        <v>173</v>
      </c>
    </row>
    <row r="55" spans="1:9">
      <c r="A55" s="5" t="s">
        <v>907</v>
      </c>
      <c r="B55" s="8" t="s">
        <v>174</v>
      </c>
      <c r="C55" s="8" t="s">
        <v>175</v>
      </c>
      <c r="D55" s="8" t="s">
        <v>11</v>
      </c>
      <c r="E55" s="8" t="s">
        <v>11</v>
      </c>
      <c r="F55" s="8" t="s">
        <v>11</v>
      </c>
      <c r="G55" s="8" t="s">
        <v>11</v>
      </c>
      <c r="H55" s="8" t="s">
        <v>11</v>
      </c>
      <c r="I55" s="8" t="s">
        <v>176</v>
      </c>
    </row>
    <row r="56" spans="1:9">
      <c r="A56" s="5" t="s">
        <v>908</v>
      </c>
      <c r="B56" s="8" t="s">
        <v>177</v>
      </c>
      <c r="C56" s="8" t="s">
        <v>178</v>
      </c>
      <c r="D56" s="8" t="s">
        <v>11</v>
      </c>
      <c r="E56" s="8" t="s">
        <v>11</v>
      </c>
      <c r="F56" s="8" t="s">
        <v>11</v>
      </c>
      <c r="G56" s="8" t="s">
        <v>11</v>
      </c>
      <c r="H56" s="8" t="s">
        <v>11</v>
      </c>
      <c r="I56" s="8" t="s">
        <v>179</v>
      </c>
    </row>
    <row r="57" spans="1:9">
      <c r="A57" s="5" t="s">
        <v>909</v>
      </c>
      <c r="B57" s="8" t="s">
        <v>98</v>
      </c>
      <c r="C57" s="8" t="s">
        <v>157</v>
      </c>
      <c r="D57" s="8" t="s">
        <v>11</v>
      </c>
      <c r="E57" s="8" t="s">
        <v>11</v>
      </c>
      <c r="F57" s="8" t="s">
        <v>11</v>
      </c>
      <c r="G57" s="8" t="s">
        <v>11</v>
      </c>
      <c r="H57" s="8" t="s">
        <v>11</v>
      </c>
      <c r="I57" s="8" t="s">
        <v>180</v>
      </c>
    </row>
    <row r="58" spans="1:9">
      <c r="A58" s="5" t="s">
        <v>910</v>
      </c>
      <c r="B58" s="8" t="s">
        <v>13</v>
      </c>
      <c r="C58" s="8" t="s">
        <v>157</v>
      </c>
      <c r="D58" s="8" t="s">
        <v>11</v>
      </c>
      <c r="E58" s="8" t="s">
        <v>11</v>
      </c>
      <c r="F58" s="8" t="s">
        <v>11</v>
      </c>
      <c r="G58" s="8" t="s">
        <v>11</v>
      </c>
      <c r="H58" s="8" t="s">
        <v>11</v>
      </c>
      <c r="I58" s="8" t="s">
        <v>181</v>
      </c>
    </row>
    <row r="59" spans="1:9">
      <c r="A59" s="5" t="s">
        <v>911</v>
      </c>
      <c r="B59" s="8" t="s">
        <v>38</v>
      </c>
      <c r="C59" s="8" t="s">
        <v>182</v>
      </c>
      <c r="D59" s="8" t="s">
        <v>11</v>
      </c>
      <c r="E59" s="8" t="s">
        <v>11</v>
      </c>
      <c r="F59" s="8" t="s">
        <v>11</v>
      </c>
      <c r="G59" s="8" t="s">
        <v>11</v>
      </c>
      <c r="H59" s="8" t="s">
        <v>11</v>
      </c>
      <c r="I59" s="8" t="s">
        <v>183</v>
      </c>
    </row>
    <row r="60" spans="1:9">
      <c r="A60" s="5" t="s">
        <v>912</v>
      </c>
      <c r="B60" s="8" t="s">
        <v>184</v>
      </c>
      <c r="C60" s="8" t="s">
        <v>162</v>
      </c>
      <c r="D60" s="8" t="s">
        <v>11</v>
      </c>
      <c r="E60" s="8" t="s">
        <v>185</v>
      </c>
      <c r="F60" s="8" t="s">
        <v>186</v>
      </c>
      <c r="G60" s="8" t="s">
        <v>11</v>
      </c>
      <c r="H60" s="8" t="s">
        <v>11</v>
      </c>
      <c r="I60" s="8" t="s">
        <v>187</v>
      </c>
    </row>
    <row r="61" spans="1:9">
      <c r="A61" s="5" t="s">
        <v>913</v>
      </c>
      <c r="B61" s="8" t="s">
        <v>68</v>
      </c>
      <c r="C61" s="8" t="s">
        <v>188</v>
      </c>
      <c r="D61" s="8" t="s">
        <v>11</v>
      </c>
      <c r="E61" s="8" t="s">
        <v>189</v>
      </c>
      <c r="F61" s="8" t="s">
        <v>11</v>
      </c>
      <c r="G61" s="8" t="s">
        <v>190</v>
      </c>
      <c r="H61" s="8" t="s">
        <v>11</v>
      </c>
      <c r="I61" s="8" t="s">
        <v>191</v>
      </c>
    </row>
    <row r="62" spans="1:9">
      <c r="A62" s="5" t="s">
        <v>914</v>
      </c>
      <c r="B62" s="8" t="s">
        <v>11</v>
      </c>
      <c r="C62" s="8" t="s">
        <v>192</v>
      </c>
      <c r="D62" s="8" t="s">
        <v>11</v>
      </c>
      <c r="E62" s="8" t="s">
        <v>11</v>
      </c>
      <c r="F62" s="8" t="s">
        <v>11</v>
      </c>
      <c r="G62" s="8" t="s">
        <v>11</v>
      </c>
      <c r="H62" s="8" t="s">
        <v>11</v>
      </c>
      <c r="I62" s="8" t="s">
        <v>193</v>
      </c>
    </row>
    <row r="63" spans="1:9">
      <c r="A63" s="5" t="s">
        <v>915</v>
      </c>
      <c r="B63" s="8" t="s">
        <v>85</v>
      </c>
      <c r="C63" s="8" t="s">
        <v>42</v>
      </c>
      <c r="D63" s="8" t="s">
        <v>194</v>
      </c>
      <c r="E63" s="8" t="s">
        <v>11</v>
      </c>
      <c r="F63" s="8" t="s">
        <v>11</v>
      </c>
      <c r="G63" s="8" t="s">
        <v>11</v>
      </c>
      <c r="H63" s="8" t="s">
        <v>11</v>
      </c>
      <c r="I63" s="8" t="s">
        <v>195</v>
      </c>
    </row>
    <row r="64" spans="1:9">
      <c r="A64" s="5" t="s">
        <v>916</v>
      </c>
      <c r="B64" s="8" t="s">
        <v>89</v>
      </c>
      <c r="C64" s="8" t="s">
        <v>178</v>
      </c>
      <c r="D64" s="8" t="s">
        <v>11</v>
      </c>
      <c r="E64" s="8" t="s">
        <v>196</v>
      </c>
      <c r="F64" s="8" t="s">
        <v>197</v>
      </c>
      <c r="G64" s="8" t="s">
        <v>11</v>
      </c>
      <c r="H64" s="8" t="s">
        <v>11</v>
      </c>
      <c r="I64" s="8" t="s">
        <v>198</v>
      </c>
    </row>
    <row r="65" spans="1:9">
      <c r="A65" s="5" t="s">
        <v>917</v>
      </c>
      <c r="B65" s="8" t="s">
        <v>199</v>
      </c>
      <c r="C65" s="8" t="s">
        <v>200</v>
      </c>
      <c r="D65" s="8" t="s">
        <v>11</v>
      </c>
      <c r="E65" s="8" t="s">
        <v>201</v>
      </c>
      <c r="F65" s="8" t="s">
        <v>202</v>
      </c>
      <c r="G65" s="8" t="s">
        <v>11</v>
      </c>
      <c r="H65" s="8" t="s">
        <v>11</v>
      </c>
      <c r="I65" s="8" t="s">
        <v>203</v>
      </c>
    </row>
    <row r="66" spans="1:9">
      <c r="A66" s="5" t="s">
        <v>918</v>
      </c>
      <c r="B66" s="8" t="s">
        <v>11</v>
      </c>
      <c r="C66" s="8" t="s">
        <v>204</v>
      </c>
      <c r="D66" s="8" t="s">
        <v>11</v>
      </c>
      <c r="E66" s="8" t="s">
        <v>11</v>
      </c>
      <c r="F66" s="8" t="s">
        <v>11</v>
      </c>
      <c r="G66" s="8" t="s">
        <v>205</v>
      </c>
      <c r="H66" s="8" t="s">
        <v>11</v>
      </c>
      <c r="I66" s="8" t="s">
        <v>206</v>
      </c>
    </row>
    <row r="67" spans="1:9">
      <c r="A67" s="5" t="s">
        <v>919</v>
      </c>
      <c r="B67" s="8" t="s">
        <v>131</v>
      </c>
      <c r="C67" s="8" t="s">
        <v>207</v>
      </c>
      <c r="D67" s="8" t="s">
        <v>11</v>
      </c>
      <c r="E67" s="8" t="s">
        <v>11</v>
      </c>
      <c r="F67" s="8" t="s">
        <v>11</v>
      </c>
      <c r="G67" s="8" t="s">
        <v>11</v>
      </c>
      <c r="H67" s="8" t="s">
        <v>11</v>
      </c>
      <c r="I67" s="8" t="s">
        <v>208</v>
      </c>
    </row>
    <row r="68" spans="1:9">
      <c r="A68" s="5" t="s">
        <v>920</v>
      </c>
      <c r="B68" s="8" t="s">
        <v>209</v>
      </c>
      <c r="C68" s="8" t="s">
        <v>210</v>
      </c>
      <c r="D68" s="8" t="s">
        <v>11</v>
      </c>
      <c r="E68" s="8" t="s">
        <v>11</v>
      </c>
      <c r="F68" s="8" t="s">
        <v>11</v>
      </c>
      <c r="G68" s="8" t="s">
        <v>11</v>
      </c>
      <c r="H68" s="8" t="s">
        <v>11</v>
      </c>
      <c r="I68" s="8" t="s">
        <v>211</v>
      </c>
    </row>
    <row r="69" spans="1:9">
      <c r="A69" s="5" t="s">
        <v>921</v>
      </c>
      <c r="B69" s="8" t="s">
        <v>16</v>
      </c>
      <c r="C69" s="8" t="s">
        <v>212</v>
      </c>
      <c r="D69" s="8" t="s">
        <v>213</v>
      </c>
      <c r="E69" s="8" t="s">
        <v>11</v>
      </c>
      <c r="F69" s="8" t="s">
        <v>11</v>
      </c>
      <c r="G69" s="8" t="s">
        <v>11</v>
      </c>
      <c r="H69" s="8" t="s">
        <v>11</v>
      </c>
      <c r="I69" s="8" t="s">
        <v>214</v>
      </c>
    </row>
    <row r="70" spans="1:9">
      <c r="A70" s="5" t="s">
        <v>922</v>
      </c>
      <c r="B70" s="8" t="s">
        <v>31</v>
      </c>
      <c r="C70" s="8" t="s">
        <v>14</v>
      </c>
      <c r="D70" s="8" t="s">
        <v>11</v>
      </c>
      <c r="E70" s="8" t="s">
        <v>11</v>
      </c>
      <c r="F70" s="8" t="s">
        <v>11</v>
      </c>
      <c r="G70" s="8" t="s">
        <v>11</v>
      </c>
      <c r="H70" s="8" t="s">
        <v>11</v>
      </c>
      <c r="I70" s="8" t="s">
        <v>103</v>
      </c>
    </row>
    <row r="71" spans="1:9">
      <c r="A71" s="5" t="s">
        <v>923</v>
      </c>
      <c r="B71" s="8" t="s">
        <v>215</v>
      </c>
      <c r="C71" s="8" t="s">
        <v>216</v>
      </c>
      <c r="D71" s="8" t="s">
        <v>11</v>
      </c>
      <c r="E71" s="8" t="s">
        <v>11</v>
      </c>
      <c r="F71" s="8" t="s">
        <v>217</v>
      </c>
      <c r="G71" s="8" t="s">
        <v>11</v>
      </c>
      <c r="H71" s="8" t="s">
        <v>11</v>
      </c>
      <c r="I71" s="8" t="s">
        <v>218</v>
      </c>
    </row>
    <row r="72" spans="1:9">
      <c r="A72" s="5" t="s">
        <v>924</v>
      </c>
      <c r="B72" s="8" t="s">
        <v>98</v>
      </c>
      <c r="C72" s="8" t="s">
        <v>219</v>
      </c>
      <c r="D72" s="8" t="s">
        <v>11</v>
      </c>
      <c r="E72" s="8" t="s">
        <v>11</v>
      </c>
      <c r="F72" s="8" t="s">
        <v>11</v>
      </c>
      <c r="G72" s="8" t="s">
        <v>11</v>
      </c>
      <c r="H72" s="8" t="s">
        <v>11</v>
      </c>
      <c r="I72" s="8" t="s">
        <v>180</v>
      </c>
    </row>
    <row r="73" spans="1:9">
      <c r="A73" s="5" t="s">
        <v>925</v>
      </c>
      <c r="B73" s="8" t="s">
        <v>131</v>
      </c>
      <c r="C73" s="8" t="s">
        <v>220</v>
      </c>
      <c r="D73" s="8" t="s">
        <v>11</v>
      </c>
      <c r="E73" s="8" t="s">
        <v>11</v>
      </c>
      <c r="F73" s="8" t="s">
        <v>221</v>
      </c>
      <c r="G73" s="8" t="s">
        <v>11</v>
      </c>
      <c r="H73" s="8" t="s">
        <v>11</v>
      </c>
      <c r="I73" s="8" t="s">
        <v>222</v>
      </c>
    </row>
    <row r="74" spans="1:9">
      <c r="A74" s="5" t="s">
        <v>926</v>
      </c>
      <c r="B74" s="8" t="s">
        <v>126</v>
      </c>
      <c r="C74" s="8" t="s">
        <v>223</v>
      </c>
      <c r="D74" s="8" t="s">
        <v>224</v>
      </c>
      <c r="E74" s="8" t="s">
        <v>11</v>
      </c>
      <c r="F74" s="8" t="s">
        <v>11</v>
      </c>
      <c r="G74" s="8" t="s">
        <v>11</v>
      </c>
      <c r="H74" s="8" t="s">
        <v>11</v>
      </c>
      <c r="I74" s="8" t="s">
        <v>225</v>
      </c>
    </row>
    <row r="75" spans="1:9">
      <c r="A75" s="5" t="s">
        <v>927</v>
      </c>
      <c r="B75" s="8" t="s">
        <v>13</v>
      </c>
      <c r="C75" s="8" t="s">
        <v>109</v>
      </c>
      <c r="D75" s="8" t="s">
        <v>11</v>
      </c>
      <c r="E75" s="8" t="s">
        <v>11</v>
      </c>
      <c r="F75" s="8" t="s">
        <v>226</v>
      </c>
      <c r="G75" s="8" t="s">
        <v>11</v>
      </c>
      <c r="H75" s="8" t="s">
        <v>11</v>
      </c>
      <c r="I75" s="8" t="s">
        <v>227</v>
      </c>
    </row>
    <row r="76" spans="1:9">
      <c r="A76" s="5" t="s">
        <v>928</v>
      </c>
      <c r="B76" s="8" t="s">
        <v>31</v>
      </c>
      <c r="C76" s="8" t="s">
        <v>32</v>
      </c>
      <c r="D76" s="8" t="s">
        <v>11</v>
      </c>
      <c r="E76" s="8" t="s">
        <v>11</v>
      </c>
      <c r="F76" s="8" t="s">
        <v>11</v>
      </c>
      <c r="G76" s="8" t="s">
        <v>11</v>
      </c>
      <c r="H76" s="8" t="s">
        <v>228</v>
      </c>
      <c r="I76" s="8" t="s">
        <v>229</v>
      </c>
    </row>
    <row r="77" spans="1:9">
      <c r="A77" s="5" t="s">
        <v>929</v>
      </c>
      <c r="B77" s="8" t="s">
        <v>230</v>
      </c>
      <c r="C77" s="8" t="s">
        <v>231</v>
      </c>
      <c r="D77" s="8" t="s">
        <v>56</v>
      </c>
      <c r="E77" s="8" t="s">
        <v>11</v>
      </c>
      <c r="F77" s="8" t="s">
        <v>11</v>
      </c>
      <c r="G77" s="8" t="s">
        <v>11</v>
      </c>
      <c r="H77" s="8" t="s">
        <v>11</v>
      </c>
      <c r="I77" s="8" t="s">
        <v>232</v>
      </c>
    </row>
    <row r="78" spans="1:9">
      <c r="A78" s="5" t="s">
        <v>930</v>
      </c>
      <c r="B78" s="8" t="s">
        <v>233</v>
      </c>
      <c r="C78" s="8" t="s">
        <v>234</v>
      </c>
      <c r="D78" s="8" t="s">
        <v>11</v>
      </c>
      <c r="E78" s="8" t="s">
        <v>11</v>
      </c>
      <c r="F78" s="8" t="s">
        <v>235</v>
      </c>
      <c r="G78" s="8" t="s">
        <v>11</v>
      </c>
      <c r="H78" s="8" t="s">
        <v>236</v>
      </c>
      <c r="I78" s="8" t="s">
        <v>237</v>
      </c>
    </row>
    <row r="79" spans="1:9">
      <c r="A79" s="5" t="s">
        <v>931</v>
      </c>
      <c r="B79" s="8" t="s">
        <v>31</v>
      </c>
      <c r="C79" s="8" t="s">
        <v>238</v>
      </c>
      <c r="D79" s="8" t="s">
        <v>239</v>
      </c>
      <c r="E79" s="8" t="s">
        <v>11</v>
      </c>
      <c r="F79" s="8" t="s">
        <v>240</v>
      </c>
      <c r="G79" s="8" t="s">
        <v>11</v>
      </c>
      <c r="H79" s="8" t="s">
        <v>11</v>
      </c>
      <c r="I79" s="8" t="s">
        <v>241</v>
      </c>
    </row>
    <row r="80" spans="1:9">
      <c r="A80" s="5" t="s">
        <v>932</v>
      </c>
      <c r="B80" s="8" t="s">
        <v>89</v>
      </c>
      <c r="C80" s="8" t="s">
        <v>242</v>
      </c>
      <c r="D80" s="8" t="s">
        <v>11</v>
      </c>
      <c r="E80" s="8" t="s">
        <v>11</v>
      </c>
      <c r="F80" s="8" t="s">
        <v>11</v>
      </c>
      <c r="G80" s="8" t="s">
        <v>11</v>
      </c>
      <c r="H80" s="8" t="s">
        <v>11</v>
      </c>
      <c r="I80" s="8" t="s">
        <v>243</v>
      </c>
    </row>
    <row r="81" spans="1:9">
      <c r="A81" s="5" t="s">
        <v>933</v>
      </c>
      <c r="B81" s="8" t="s">
        <v>244</v>
      </c>
      <c r="C81" s="8" t="s">
        <v>245</v>
      </c>
      <c r="D81" s="8" t="s">
        <v>246</v>
      </c>
      <c r="E81" s="8" t="s">
        <v>11</v>
      </c>
      <c r="F81" s="8" t="s">
        <v>11</v>
      </c>
      <c r="G81" s="8" t="s">
        <v>11</v>
      </c>
      <c r="H81" s="8" t="s">
        <v>11</v>
      </c>
      <c r="I81" s="8" t="s">
        <v>247</v>
      </c>
    </row>
    <row r="82" spans="1:9">
      <c r="A82" s="5" t="s">
        <v>934</v>
      </c>
      <c r="B82" s="8" t="s">
        <v>248</v>
      </c>
      <c r="C82" s="8" t="s">
        <v>249</v>
      </c>
      <c r="D82" s="8" t="s">
        <v>11</v>
      </c>
      <c r="E82" s="8" t="s">
        <v>11</v>
      </c>
      <c r="F82" s="8" t="s">
        <v>250</v>
      </c>
      <c r="G82" s="8" t="s">
        <v>11</v>
      </c>
      <c r="H82" s="8" t="s">
        <v>11</v>
      </c>
      <c r="I82" s="8" t="s">
        <v>251</v>
      </c>
    </row>
    <row r="83" spans="1:9">
      <c r="A83" s="5" t="s">
        <v>935</v>
      </c>
      <c r="B83" s="8" t="s">
        <v>252</v>
      </c>
      <c r="C83" s="8" t="s">
        <v>253</v>
      </c>
      <c r="D83" s="8" t="s">
        <v>11</v>
      </c>
      <c r="E83" s="8" t="s">
        <v>11</v>
      </c>
      <c r="F83" s="8" t="s">
        <v>11</v>
      </c>
      <c r="G83" s="8" t="s">
        <v>11</v>
      </c>
      <c r="H83" s="8" t="s">
        <v>11</v>
      </c>
      <c r="I83" s="8" t="s">
        <v>254</v>
      </c>
    </row>
    <row r="84" spans="1:9">
      <c r="A84" s="5" t="s">
        <v>936</v>
      </c>
      <c r="B84" s="8" t="s">
        <v>11</v>
      </c>
      <c r="C84" s="8" t="s">
        <v>109</v>
      </c>
      <c r="D84" s="8" t="s">
        <v>11</v>
      </c>
      <c r="E84" s="8" t="s">
        <v>11</v>
      </c>
      <c r="F84" s="8" t="s">
        <v>11</v>
      </c>
      <c r="G84" s="8" t="s">
        <v>11</v>
      </c>
      <c r="H84" s="8" t="s">
        <v>11</v>
      </c>
      <c r="I84" s="8" t="s">
        <v>255</v>
      </c>
    </row>
    <row r="85" spans="1:9">
      <c r="A85" s="5" t="s">
        <v>937</v>
      </c>
      <c r="B85" s="8" t="s">
        <v>256</v>
      </c>
      <c r="C85" s="8" t="s">
        <v>115</v>
      </c>
      <c r="D85" s="8" t="s">
        <v>11</v>
      </c>
      <c r="E85" s="8" t="s">
        <v>11</v>
      </c>
      <c r="F85" s="8" t="s">
        <v>11</v>
      </c>
      <c r="G85" s="8" t="s">
        <v>11</v>
      </c>
      <c r="H85" s="8" t="s">
        <v>11</v>
      </c>
      <c r="I85" s="8" t="s">
        <v>257</v>
      </c>
    </row>
    <row r="86" spans="1:9">
      <c r="A86" s="5" t="s">
        <v>938</v>
      </c>
      <c r="B86" s="8" t="s">
        <v>13</v>
      </c>
      <c r="C86" s="8" t="s">
        <v>258</v>
      </c>
      <c r="D86" s="8" t="s">
        <v>11</v>
      </c>
      <c r="E86" s="8" t="s">
        <v>11</v>
      </c>
      <c r="F86" s="8" t="s">
        <v>11</v>
      </c>
      <c r="G86" s="8" t="s">
        <v>11</v>
      </c>
      <c r="H86" s="8" t="s">
        <v>11</v>
      </c>
      <c r="I86" s="8" t="s">
        <v>259</v>
      </c>
    </row>
    <row r="87" spans="1:9">
      <c r="A87" s="5" t="s">
        <v>939</v>
      </c>
      <c r="B87" s="8" t="s">
        <v>260</v>
      </c>
      <c r="C87" s="8" t="s">
        <v>261</v>
      </c>
      <c r="D87" s="8" t="s">
        <v>11</v>
      </c>
      <c r="E87" s="8" t="s">
        <v>11</v>
      </c>
      <c r="F87" s="8" t="s">
        <v>11</v>
      </c>
      <c r="G87" s="8" t="s">
        <v>11</v>
      </c>
      <c r="H87" s="8" t="s">
        <v>262</v>
      </c>
      <c r="I87" s="8" t="s">
        <v>263</v>
      </c>
    </row>
    <row r="88" spans="1:9">
      <c r="A88" s="5" t="s">
        <v>940</v>
      </c>
      <c r="B88" s="8" t="s">
        <v>264</v>
      </c>
      <c r="C88" s="8" t="s">
        <v>219</v>
      </c>
      <c r="D88" s="8" t="s">
        <v>11</v>
      </c>
      <c r="E88" s="8" t="s">
        <v>11</v>
      </c>
      <c r="F88" s="8" t="s">
        <v>11</v>
      </c>
      <c r="G88" s="8" t="s">
        <v>11</v>
      </c>
      <c r="H88" s="8" t="s">
        <v>265</v>
      </c>
      <c r="I88" s="8" t="s">
        <v>266</v>
      </c>
    </row>
    <row r="89" spans="1:9">
      <c r="A89" s="5" t="s">
        <v>941</v>
      </c>
      <c r="B89" s="8" t="s">
        <v>267</v>
      </c>
      <c r="C89" s="8" t="s">
        <v>268</v>
      </c>
      <c r="D89" s="8" t="s">
        <v>11</v>
      </c>
      <c r="E89" s="8" t="s">
        <v>269</v>
      </c>
      <c r="F89" s="8" t="s">
        <v>11</v>
      </c>
      <c r="G89" s="8" t="s">
        <v>11</v>
      </c>
      <c r="H89" s="8" t="s">
        <v>270</v>
      </c>
      <c r="I89" s="8" t="s">
        <v>271</v>
      </c>
    </row>
    <row r="90" spans="1:9">
      <c r="A90" s="5" t="s">
        <v>942</v>
      </c>
      <c r="B90" s="8" t="s">
        <v>272</v>
      </c>
      <c r="C90" s="8" t="s">
        <v>273</v>
      </c>
      <c r="D90" s="8" t="s">
        <v>11</v>
      </c>
      <c r="E90" s="8" t="s">
        <v>274</v>
      </c>
      <c r="F90" s="8" t="s">
        <v>275</v>
      </c>
      <c r="G90" s="8" t="s">
        <v>11</v>
      </c>
      <c r="H90" s="8" t="s">
        <v>276</v>
      </c>
      <c r="I90" s="8" t="s">
        <v>277</v>
      </c>
    </row>
    <row r="91" spans="1:9">
      <c r="A91" s="5" t="s">
        <v>943</v>
      </c>
      <c r="B91" s="8" t="s">
        <v>278</v>
      </c>
      <c r="C91" s="8" t="s">
        <v>99</v>
      </c>
      <c r="D91" s="8" t="s">
        <v>11</v>
      </c>
      <c r="E91" s="8" t="s">
        <v>11</v>
      </c>
      <c r="F91" s="8" t="s">
        <v>11</v>
      </c>
      <c r="G91" s="8" t="s">
        <v>11</v>
      </c>
      <c r="H91" s="8" t="s">
        <v>279</v>
      </c>
      <c r="I91" s="8" t="s">
        <v>280</v>
      </c>
    </row>
    <row r="92" spans="1:9">
      <c r="A92" s="5" t="s">
        <v>944</v>
      </c>
      <c r="B92" s="8" t="s">
        <v>31</v>
      </c>
      <c r="C92" s="8" t="s">
        <v>42</v>
      </c>
      <c r="D92" s="8" t="s">
        <v>11</v>
      </c>
      <c r="E92" s="8" t="s">
        <v>281</v>
      </c>
      <c r="F92" s="8" t="s">
        <v>11</v>
      </c>
      <c r="G92" s="8" t="s">
        <v>11</v>
      </c>
      <c r="H92" s="8" t="s">
        <v>11</v>
      </c>
      <c r="I92" s="8" t="s">
        <v>282</v>
      </c>
    </row>
    <row r="93" spans="1:9">
      <c r="A93" s="5" t="s">
        <v>945</v>
      </c>
      <c r="B93" s="8" t="s">
        <v>11</v>
      </c>
      <c r="C93" s="8" t="s">
        <v>283</v>
      </c>
      <c r="D93" s="8" t="s">
        <v>11</v>
      </c>
      <c r="E93" s="8" t="s">
        <v>11</v>
      </c>
      <c r="F93" s="8" t="s">
        <v>284</v>
      </c>
      <c r="G93" s="8" t="s">
        <v>285</v>
      </c>
      <c r="H93" s="8" t="s">
        <v>11</v>
      </c>
      <c r="I93" s="8" t="s">
        <v>286</v>
      </c>
    </row>
    <row r="94" spans="1:9">
      <c r="A94" s="5" t="s">
        <v>946</v>
      </c>
      <c r="B94" s="8" t="s">
        <v>287</v>
      </c>
      <c r="C94" s="8" t="s">
        <v>206</v>
      </c>
      <c r="D94" s="8" t="s">
        <v>11</v>
      </c>
      <c r="E94" s="8" t="s">
        <v>11</v>
      </c>
      <c r="F94" s="8" t="s">
        <v>11</v>
      </c>
      <c r="G94" s="8" t="s">
        <v>11</v>
      </c>
      <c r="H94" s="8" t="s">
        <v>11</v>
      </c>
      <c r="I94" s="8" t="s">
        <v>160</v>
      </c>
    </row>
    <row r="95" spans="1:9">
      <c r="A95" s="5" t="s">
        <v>947</v>
      </c>
      <c r="B95" s="8" t="s">
        <v>264</v>
      </c>
      <c r="C95" s="8" t="s">
        <v>288</v>
      </c>
      <c r="D95" s="8" t="s">
        <v>11</v>
      </c>
      <c r="E95" s="8" t="s">
        <v>11</v>
      </c>
      <c r="F95" s="8" t="s">
        <v>289</v>
      </c>
      <c r="G95" s="8" t="s">
        <v>11</v>
      </c>
      <c r="H95" s="8" t="s">
        <v>290</v>
      </c>
      <c r="I95" s="8" t="s">
        <v>291</v>
      </c>
    </row>
    <row r="96" spans="1:9">
      <c r="A96" s="5" t="s">
        <v>948</v>
      </c>
      <c r="B96" s="8" t="s">
        <v>20</v>
      </c>
      <c r="C96" s="8" t="s">
        <v>292</v>
      </c>
      <c r="D96" s="8" t="s">
        <v>11</v>
      </c>
      <c r="E96" s="8" t="s">
        <v>11</v>
      </c>
      <c r="F96" s="8" t="s">
        <v>293</v>
      </c>
      <c r="G96" s="8" t="s">
        <v>11</v>
      </c>
      <c r="H96" s="8" t="s">
        <v>294</v>
      </c>
      <c r="I96" s="8" t="s">
        <v>295</v>
      </c>
    </row>
    <row r="97" spans="1:9">
      <c r="A97" s="5" t="s">
        <v>949</v>
      </c>
      <c r="B97" s="8" t="s">
        <v>296</v>
      </c>
      <c r="C97" s="8" t="s">
        <v>297</v>
      </c>
      <c r="D97" s="8" t="s">
        <v>11</v>
      </c>
      <c r="E97" s="8" t="s">
        <v>11</v>
      </c>
      <c r="F97" s="8" t="s">
        <v>11</v>
      </c>
      <c r="G97" s="8" t="s">
        <v>298</v>
      </c>
      <c r="H97" s="8" t="s">
        <v>11</v>
      </c>
      <c r="I97" s="8" t="s">
        <v>299</v>
      </c>
    </row>
    <row r="98" spans="1:9">
      <c r="A98" s="5" t="s">
        <v>950</v>
      </c>
      <c r="B98" s="8" t="s">
        <v>156</v>
      </c>
      <c r="C98" s="8" t="s">
        <v>300</v>
      </c>
      <c r="D98" s="8" t="s">
        <v>11</v>
      </c>
      <c r="E98" s="8" t="s">
        <v>11</v>
      </c>
      <c r="F98" s="8" t="s">
        <v>11</v>
      </c>
      <c r="G98" s="8" t="s">
        <v>11</v>
      </c>
      <c r="H98" s="8" t="s">
        <v>301</v>
      </c>
      <c r="I98" s="8" t="s">
        <v>302</v>
      </c>
    </row>
    <row r="99" spans="1:9">
      <c r="A99" s="5" t="s">
        <v>951</v>
      </c>
      <c r="B99" s="8" t="s">
        <v>303</v>
      </c>
      <c r="C99" s="8" t="s">
        <v>304</v>
      </c>
      <c r="D99" s="8" t="s">
        <v>11</v>
      </c>
      <c r="E99" s="8" t="s">
        <v>305</v>
      </c>
      <c r="F99" s="8" t="s">
        <v>11</v>
      </c>
      <c r="G99" s="8" t="s">
        <v>11</v>
      </c>
      <c r="H99" s="8" t="s">
        <v>11</v>
      </c>
      <c r="I99" s="8" t="s">
        <v>306</v>
      </c>
    </row>
    <row r="100" spans="1:9">
      <c r="A100" s="5" t="s">
        <v>952</v>
      </c>
      <c r="B100" s="8" t="s">
        <v>177</v>
      </c>
      <c r="C100" s="8" t="s">
        <v>182</v>
      </c>
      <c r="D100" s="8" t="s">
        <v>11</v>
      </c>
      <c r="E100" s="8" t="s">
        <v>11</v>
      </c>
      <c r="F100" s="8" t="s">
        <v>11</v>
      </c>
      <c r="G100" s="8" t="s">
        <v>11</v>
      </c>
      <c r="H100" s="8" t="s">
        <v>11</v>
      </c>
      <c r="I100" s="8" t="s">
        <v>307</v>
      </c>
    </row>
    <row r="101" spans="1:9">
      <c r="A101" s="5" t="s">
        <v>953</v>
      </c>
      <c r="B101" s="8" t="s">
        <v>308</v>
      </c>
      <c r="C101" s="8" t="s">
        <v>309</v>
      </c>
      <c r="D101" s="8" t="s">
        <v>11</v>
      </c>
      <c r="E101" s="8" t="s">
        <v>11</v>
      </c>
      <c r="F101" s="8" t="s">
        <v>11</v>
      </c>
      <c r="G101" s="8" t="s">
        <v>11</v>
      </c>
      <c r="H101" s="8" t="s">
        <v>11</v>
      </c>
      <c r="I101" s="8" t="s">
        <v>160</v>
      </c>
    </row>
    <row r="102" spans="1:9">
      <c r="A102" s="5" t="s">
        <v>954</v>
      </c>
      <c r="B102" s="8" t="s">
        <v>310</v>
      </c>
      <c r="C102" s="8" t="s">
        <v>311</v>
      </c>
      <c r="D102" s="8" t="s">
        <v>11</v>
      </c>
      <c r="E102" s="8" t="s">
        <v>312</v>
      </c>
      <c r="F102" s="8" t="s">
        <v>11</v>
      </c>
      <c r="G102" s="8" t="s">
        <v>11</v>
      </c>
      <c r="H102" s="8" t="s">
        <v>313</v>
      </c>
      <c r="I102" s="8" t="s">
        <v>34</v>
      </c>
    </row>
    <row r="103" spans="1:9">
      <c r="A103" s="5" t="s">
        <v>955</v>
      </c>
      <c r="B103" s="8" t="s">
        <v>98</v>
      </c>
      <c r="C103" s="8" t="s">
        <v>297</v>
      </c>
      <c r="D103" s="8" t="s">
        <v>11</v>
      </c>
      <c r="E103" s="8" t="s">
        <v>11</v>
      </c>
      <c r="F103" s="8" t="s">
        <v>11</v>
      </c>
      <c r="G103" s="8" t="s">
        <v>11</v>
      </c>
      <c r="H103" s="8" t="s">
        <v>314</v>
      </c>
      <c r="I103" s="8" t="s">
        <v>315</v>
      </c>
    </row>
    <row r="104" spans="1:9">
      <c r="A104" s="5" t="s">
        <v>956</v>
      </c>
      <c r="B104" s="8" t="s">
        <v>316</v>
      </c>
      <c r="C104" s="8" t="s">
        <v>317</v>
      </c>
      <c r="D104" s="8" t="s">
        <v>11</v>
      </c>
      <c r="E104" s="8" t="s">
        <v>11</v>
      </c>
      <c r="F104" s="8" t="s">
        <v>11</v>
      </c>
      <c r="G104" s="8" t="s">
        <v>11</v>
      </c>
      <c r="H104" s="8" t="s">
        <v>318</v>
      </c>
      <c r="I104" s="8" t="s">
        <v>319</v>
      </c>
    </row>
    <row r="105" spans="1:9">
      <c r="A105" s="5" t="s">
        <v>957</v>
      </c>
      <c r="B105" s="8" t="s">
        <v>320</v>
      </c>
      <c r="C105" s="8" t="s">
        <v>86</v>
      </c>
      <c r="D105" s="8" t="s">
        <v>321</v>
      </c>
      <c r="E105" s="8" t="s">
        <v>11</v>
      </c>
      <c r="F105" s="8" t="s">
        <v>322</v>
      </c>
      <c r="G105" s="8" t="s">
        <v>11</v>
      </c>
      <c r="H105" s="8" t="s">
        <v>323</v>
      </c>
      <c r="I105" s="8" t="s">
        <v>324</v>
      </c>
    </row>
    <row r="106" spans="1:9">
      <c r="A106" s="5" t="s">
        <v>958</v>
      </c>
      <c r="B106" s="8" t="s">
        <v>325</v>
      </c>
      <c r="C106" s="8" t="s">
        <v>326</v>
      </c>
      <c r="D106" s="8" t="s">
        <v>11</v>
      </c>
      <c r="E106" s="8" t="s">
        <v>11</v>
      </c>
      <c r="F106" s="8" t="s">
        <v>11</v>
      </c>
      <c r="G106" s="8" t="s">
        <v>11</v>
      </c>
      <c r="H106" s="8" t="s">
        <v>11</v>
      </c>
      <c r="I106" s="8" t="s">
        <v>327</v>
      </c>
    </row>
    <row r="107" spans="1:9">
      <c r="A107" s="5" t="s">
        <v>959</v>
      </c>
      <c r="B107" s="8" t="s">
        <v>172</v>
      </c>
      <c r="C107" s="8" t="s">
        <v>328</v>
      </c>
      <c r="D107" s="8" t="s">
        <v>11</v>
      </c>
      <c r="E107" s="8" t="s">
        <v>11</v>
      </c>
      <c r="F107" s="8" t="s">
        <v>11</v>
      </c>
      <c r="G107" s="8" t="s">
        <v>11</v>
      </c>
      <c r="H107" s="8" t="s">
        <v>329</v>
      </c>
      <c r="I107" s="8" t="s">
        <v>330</v>
      </c>
    </row>
    <row r="108" spans="1:9">
      <c r="A108" s="5" t="s">
        <v>960</v>
      </c>
      <c r="B108" s="8" t="s">
        <v>135</v>
      </c>
      <c r="C108" s="8" t="s">
        <v>118</v>
      </c>
      <c r="D108" s="8" t="s">
        <v>331</v>
      </c>
      <c r="E108" s="8" t="s">
        <v>11</v>
      </c>
      <c r="F108" s="8" t="s">
        <v>11</v>
      </c>
      <c r="G108" s="8" t="s">
        <v>11</v>
      </c>
      <c r="H108" s="8" t="s">
        <v>11</v>
      </c>
      <c r="I108" s="8" t="s">
        <v>332</v>
      </c>
    </row>
    <row r="109" spans="1:9">
      <c r="A109" s="5" t="s">
        <v>961</v>
      </c>
      <c r="B109" s="8" t="s">
        <v>333</v>
      </c>
      <c r="C109" s="8" t="s">
        <v>334</v>
      </c>
      <c r="D109" s="8" t="s">
        <v>11</v>
      </c>
      <c r="E109" s="8" t="s">
        <v>11</v>
      </c>
      <c r="F109" s="8" t="s">
        <v>11</v>
      </c>
      <c r="G109" s="8" t="s">
        <v>11</v>
      </c>
      <c r="H109" s="8" t="s">
        <v>11</v>
      </c>
      <c r="I109" s="8" t="s">
        <v>335</v>
      </c>
    </row>
    <row r="110" spans="1:9">
      <c r="A110" s="5" t="s">
        <v>962</v>
      </c>
      <c r="B110" s="8" t="s">
        <v>65</v>
      </c>
      <c r="C110" s="8" t="s">
        <v>99</v>
      </c>
      <c r="D110" s="8" t="s">
        <v>11</v>
      </c>
      <c r="E110" s="8" t="s">
        <v>11</v>
      </c>
      <c r="F110" s="8" t="s">
        <v>11</v>
      </c>
      <c r="G110" s="8" t="s">
        <v>11</v>
      </c>
      <c r="H110" s="8" t="s">
        <v>11</v>
      </c>
      <c r="I110" s="8" t="s">
        <v>336</v>
      </c>
    </row>
    <row r="111" spans="1:9">
      <c r="A111" s="5" t="s">
        <v>963</v>
      </c>
      <c r="B111" s="8" t="s">
        <v>337</v>
      </c>
      <c r="C111" s="8" t="s">
        <v>338</v>
      </c>
      <c r="D111" s="8" t="s">
        <v>11</v>
      </c>
      <c r="E111" s="8" t="s">
        <v>11</v>
      </c>
      <c r="F111" s="8" t="s">
        <v>11</v>
      </c>
      <c r="G111" s="8" t="s">
        <v>11</v>
      </c>
      <c r="H111" s="8" t="s">
        <v>11</v>
      </c>
      <c r="I111" s="8" t="s">
        <v>339</v>
      </c>
    </row>
    <row r="112" spans="1:9">
      <c r="A112" s="5" t="s">
        <v>964</v>
      </c>
      <c r="B112" s="8" t="s">
        <v>16</v>
      </c>
      <c r="C112" s="8" t="s">
        <v>340</v>
      </c>
      <c r="D112" s="8" t="s">
        <v>11</v>
      </c>
      <c r="E112" s="8" t="s">
        <v>11</v>
      </c>
      <c r="F112" s="8" t="s">
        <v>11</v>
      </c>
      <c r="G112" s="8" t="s">
        <v>11</v>
      </c>
      <c r="H112" s="8" t="s">
        <v>341</v>
      </c>
      <c r="I112" s="8" t="s">
        <v>342</v>
      </c>
    </row>
    <row r="113" spans="1:9">
      <c r="A113" s="5" t="s">
        <v>965</v>
      </c>
      <c r="B113" s="8" t="s">
        <v>343</v>
      </c>
      <c r="C113" s="8" t="s">
        <v>24</v>
      </c>
      <c r="D113" s="8" t="s">
        <v>11</v>
      </c>
      <c r="E113" s="8" t="s">
        <v>11</v>
      </c>
      <c r="F113" s="8" t="s">
        <v>11</v>
      </c>
      <c r="G113" s="8" t="s">
        <v>11</v>
      </c>
      <c r="H113" s="8" t="s">
        <v>11</v>
      </c>
      <c r="I113" s="8" t="s">
        <v>344</v>
      </c>
    </row>
    <row r="114" spans="1:9">
      <c r="A114" s="5" t="s">
        <v>966</v>
      </c>
      <c r="B114" s="8" t="s">
        <v>345</v>
      </c>
      <c r="C114" s="8" t="s">
        <v>346</v>
      </c>
      <c r="D114" s="8" t="s">
        <v>11</v>
      </c>
      <c r="E114" s="8" t="s">
        <v>11</v>
      </c>
      <c r="F114" s="8" t="s">
        <v>11</v>
      </c>
      <c r="G114" s="8" t="s">
        <v>11</v>
      </c>
      <c r="H114" s="8" t="s">
        <v>11</v>
      </c>
      <c r="I114" s="8" t="s">
        <v>347</v>
      </c>
    </row>
    <row r="115" spans="1:9">
      <c r="A115" s="5" t="s">
        <v>967</v>
      </c>
      <c r="B115" s="8" t="s">
        <v>272</v>
      </c>
      <c r="C115" s="8" t="s">
        <v>200</v>
      </c>
      <c r="D115" s="8" t="s">
        <v>11</v>
      </c>
      <c r="E115" s="8" t="s">
        <v>11</v>
      </c>
      <c r="F115" s="8" t="s">
        <v>11</v>
      </c>
      <c r="G115" s="8" t="s">
        <v>284</v>
      </c>
      <c r="H115" s="8" t="s">
        <v>348</v>
      </c>
      <c r="I115" s="8" t="s">
        <v>349</v>
      </c>
    </row>
    <row r="116" spans="1:9">
      <c r="A116" s="5" t="s">
        <v>968</v>
      </c>
      <c r="B116" s="8" t="s">
        <v>156</v>
      </c>
      <c r="C116" s="8" t="s">
        <v>206</v>
      </c>
      <c r="D116" s="8" t="s">
        <v>11</v>
      </c>
      <c r="E116" s="8" t="s">
        <v>11</v>
      </c>
      <c r="F116" s="8" t="s">
        <v>11</v>
      </c>
      <c r="G116" s="8" t="s">
        <v>11</v>
      </c>
      <c r="H116" s="8" t="s">
        <v>11</v>
      </c>
      <c r="I116" s="8" t="s">
        <v>350</v>
      </c>
    </row>
    <row r="117" spans="1:9">
      <c r="A117" s="5" t="s">
        <v>969</v>
      </c>
      <c r="B117" s="8" t="s">
        <v>351</v>
      </c>
      <c r="C117" s="8" t="s">
        <v>255</v>
      </c>
      <c r="D117" s="8" t="s">
        <v>11</v>
      </c>
      <c r="E117" s="8" t="s">
        <v>11</v>
      </c>
      <c r="F117" s="8" t="s">
        <v>11</v>
      </c>
      <c r="G117" s="8" t="s">
        <v>11</v>
      </c>
      <c r="H117" s="8" t="s">
        <v>11</v>
      </c>
      <c r="I117" s="8" t="s">
        <v>22</v>
      </c>
    </row>
    <row r="118" spans="1:9">
      <c r="A118" s="5" t="s">
        <v>970</v>
      </c>
      <c r="B118" s="8" t="s">
        <v>352</v>
      </c>
      <c r="C118" s="8" t="s">
        <v>353</v>
      </c>
      <c r="D118" s="8" t="s">
        <v>11</v>
      </c>
      <c r="E118" s="8" t="s">
        <v>11</v>
      </c>
      <c r="F118" s="8" t="s">
        <v>11</v>
      </c>
      <c r="G118" s="8" t="s">
        <v>11</v>
      </c>
      <c r="H118" s="8" t="s">
        <v>11</v>
      </c>
      <c r="I118" s="8" t="s">
        <v>354</v>
      </c>
    </row>
    <row r="119" spans="1:9">
      <c r="A119" s="5" t="s">
        <v>971</v>
      </c>
      <c r="B119" s="8" t="s">
        <v>355</v>
      </c>
      <c r="C119" s="8" t="s">
        <v>206</v>
      </c>
      <c r="D119" s="8" t="s">
        <v>11</v>
      </c>
      <c r="E119" s="8" t="s">
        <v>11</v>
      </c>
      <c r="F119" s="8" t="s">
        <v>11</v>
      </c>
      <c r="G119" s="8" t="s">
        <v>11</v>
      </c>
      <c r="H119" s="8" t="s">
        <v>356</v>
      </c>
      <c r="I119" s="8" t="s">
        <v>357</v>
      </c>
    </row>
    <row r="120" spans="1:9">
      <c r="A120" s="5" t="s">
        <v>972</v>
      </c>
      <c r="B120" s="8" t="s">
        <v>358</v>
      </c>
      <c r="C120" s="8" t="s">
        <v>359</v>
      </c>
      <c r="D120" s="8" t="s">
        <v>11</v>
      </c>
      <c r="E120" s="8" t="s">
        <v>11</v>
      </c>
      <c r="F120" s="8" t="s">
        <v>11</v>
      </c>
      <c r="G120" s="8" t="s">
        <v>11</v>
      </c>
      <c r="H120" s="8" t="s">
        <v>360</v>
      </c>
      <c r="I120" s="8" t="s">
        <v>361</v>
      </c>
    </row>
    <row r="121" spans="1:9">
      <c r="A121" s="5" t="s">
        <v>973</v>
      </c>
      <c r="B121" s="8" t="s">
        <v>362</v>
      </c>
      <c r="C121" s="8" t="s">
        <v>121</v>
      </c>
      <c r="D121" s="8" t="s">
        <v>11</v>
      </c>
      <c r="E121" s="8" t="s">
        <v>11</v>
      </c>
      <c r="F121" s="8" t="s">
        <v>11</v>
      </c>
      <c r="G121" s="8" t="s">
        <v>11</v>
      </c>
      <c r="H121" s="8" t="s">
        <v>11</v>
      </c>
      <c r="I121" s="8" t="s">
        <v>363</v>
      </c>
    </row>
    <row r="122" spans="1:9">
      <c r="A122" s="5" t="s">
        <v>974</v>
      </c>
      <c r="B122" s="8" t="s">
        <v>260</v>
      </c>
      <c r="C122" s="8" t="s">
        <v>364</v>
      </c>
      <c r="D122" s="8" t="s">
        <v>11</v>
      </c>
      <c r="E122" s="8" t="s">
        <v>11</v>
      </c>
      <c r="F122" s="8" t="s">
        <v>365</v>
      </c>
      <c r="G122" s="8" t="s">
        <v>11</v>
      </c>
      <c r="H122" s="8" t="s">
        <v>11</v>
      </c>
      <c r="I122" s="8" t="s">
        <v>366</v>
      </c>
    </row>
    <row r="123" spans="1:9">
      <c r="A123" s="5" t="s">
        <v>975</v>
      </c>
      <c r="B123" s="8" t="s">
        <v>367</v>
      </c>
      <c r="C123" s="8" t="s">
        <v>368</v>
      </c>
      <c r="D123" s="8" t="s">
        <v>369</v>
      </c>
      <c r="E123" s="8" t="s">
        <v>11</v>
      </c>
      <c r="F123" s="8" t="s">
        <v>11</v>
      </c>
      <c r="G123" s="8" t="s">
        <v>11</v>
      </c>
      <c r="H123" s="8" t="s">
        <v>370</v>
      </c>
      <c r="I123" s="8" t="s">
        <v>371</v>
      </c>
    </row>
    <row r="124" spans="1:9">
      <c r="A124" s="5" t="s">
        <v>976</v>
      </c>
      <c r="B124" s="8" t="s">
        <v>367</v>
      </c>
      <c r="C124" s="8" t="s">
        <v>102</v>
      </c>
      <c r="D124" s="8" t="s">
        <v>11</v>
      </c>
      <c r="E124" s="8" t="s">
        <v>11</v>
      </c>
      <c r="F124" s="8" t="s">
        <v>11</v>
      </c>
      <c r="G124" s="8" t="s">
        <v>11</v>
      </c>
      <c r="H124" s="8" t="s">
        <v>11</v>
      </c>
      <c r="I124" s="8" t="s">
        <v>15</v>
      </c>
    </row>
    <row r="125" spans="1:9">
      <c r="A125" s="5" t="s">
        <v>977</v>
      </c>
      <c r="B125" s="8" t="s">
        <v>372</v>
      </c>
      <c r="C125" s="8" t="s">
        <v>62</v>
      </c>
      <c r="D125" s="8" t="s">
        <v>11</v>
      </c>
      <c r="E125" s="8" t="s">
        <v>11</v>
      </c>
      <c r="F125" s="8" t="s">
        <v>11</v>
      </c>
      <c r="G125" s="8" t="s">
        <v>11</v>
      </c>
      <c r="H125" s="8" t="s">
        <v>11</v>
      </c>
      <c r="I125" s="8" t="s">
        <v>373</v>
      </c>
    </row>
    <row r="126" spans="1:9">
      <c r="A126" s="5" t="s">
        <v>978</v>
      </c>
      <c r="B126" s="8" t="s">
        <v>374</v>
      </c>
      <c r="C126" s="8" t="s">
        <v>375</v>
      </c>
      <c r="D126" s="8" t="s">
        <v>11</v>
      </c>
      <c r="E126" s="8" t="s">
        <v>11</v>
      </c>
      <c r="F126" s="8" t="s">
        <v>11</v>
      </c>
      <c r="G126" s="8" t="s">
        <v>11</v>
      </c>
      <c r="H126" s="8" t="s">
        <v>99</v>
      </c>
      <c r="I126" s="8" t="s">
        <v>376</v>
      </c>
    </row>
    <row r="127" spans="1:9">
      <c r="A127" s="5" t="s">
        <v>979</v>
      </c>
      <c r="B127" s="8" t="s">
        <v>377</v>
      </c>
      <c r="C127" s="8" t="s">
        <v>378</v>
      </c>
      <c r="D127" s="8" t="s">
        <v>11</v>
      </c>
      <c r="E127" s="8" t="s">
        <v>11</v>
      </c>
      <c r="F127" s="8" t="s">
        <v>379</v>
      </c>
      <c r="G127" s="8" t="s">
        <v>11</v>
      </c>
      <c r="H127" s="8" t="s">
        <v>11</v>
      </c>
      <c r="I127" s="8" t="s">
        <v>380</v>
      </c>
    </row>
    <row r="128" spans="1:9">
      <c r="A128" s="5" t="s">
        <v>980</v>
      </c>
      <c r="B128" s="8" t="s">
        <v>367</v>
      </c>
      <c r="C128" s="8" t="s">
        <v>381</v>
      </c>
      <c r="D128" s="8" t="s">
        <v>11</v>
      </c>
      <c r="E128" s="8" t="s">
        <v>382</v>
      </c>
      <c r="F128" s="8" t="s">
        <v>11</v>
      </c>
      <c r="G128" s="8" t="s">
        <v>11</v>
      </c>
      <c r="H128" s="8" t="s">
        <v>11</v>
      </c>
      <c r="I128" s="8" t="s">
        <v>383</v>
      </c>
    </row>
    <row r="129" spans="1:9">
      <c r="A129" s="5" t="s">
        <v>981</v>
      </c>
      <c r="B129" s="8" t="s">
        <v>126</v>
      </c>
      <c r="C129" s="8" t="s">
        <v>384</v>
      </c>
      <c r="D129" s="8" t="s">
        <v>11</v>
      </c>
      <c r="E129" s="8" t="s">
        <v>11</v>
      </c>
      <c r="F129" s="8" t="s">
        <v>11</v>
      </c>
      <c r="G129" s="8" t="s">
        <v>385</v>
      </c>
      <c r="H129" s="8" t="s">
        <v>11</v>
      </c>
      <c r="I129" s="8" t="s">
        <v>386</v>
      </c>
    </row>
    <row r="130" spans="1:9">
      <c r="A130" s="5" t="s">
        <v>982</v>
      </c>
      <c r="B130" s="8" t="s">
        <v>93</v>
      </c>
      <c r="C130" s="8" t="s">
        <v>387</v>
      </c>
      <c r="D130" s="8" t="s">
        <v>11</v>
      </c>
      <c r="E130" s="8" t="s">
        <v>388</v>
      </c>
      <c r="F130" s="8" t="s">
        <v>389</v>
      </c>
      <c r="G130" s="8" t="s">
        <v>11</v>
      </c>
      <c r="H130" s="8" t="s">
        <v>11</v>
      </c>
      <c r="I130" s="8" t="s">
        <v>390</v>
      </c>
    </row>
    <row r="131" spans="1:9">
      <c r="A131" s="5" t="s">
        <v>983</v>
      </c>
      <c r="B131" s="8" t="s">
        <v>16</v>
      </c>
      <c r="C131" s="8" t="s">
        <v>391</v>
      </c>
      <c r="D131" s="8" t="s">
        <v>11</v>
      </c>
      <c r="E131" s="8" t="s">
        <v>11</v>
      </c>
      <c r="F131" s="8" t="s">
        <v>11</v>
      </c>
      <c r="G131" s="8" t="s">
        <v>11</v>
      </c>
      <c r="H131" s="8" t="s">
        <v>11</v>
      </c>
      <c r="I131" s="8" t="s">
        <v>392</v>
      </c>
    </row>
    <row r="132" spans="1:9">
      <c r="A132" s="5" t="s">
        <v>984</v>
      </c>
      <c r="B132" s="8" t="s">
        <v>131</v>
      </c>
      <c r="C132" s="8" t="s">
        <v>384</v>
      </c>
      <c r="D132" s="8" t="s">
        <v>11</v>
      </c>
      <c r="E132" s="8" t="s">
        <v>11</v>
      </c>
      <c r="F132" s="8" t="s">
        <v>11</v>
      </c>
      <c r="G132" s="8" t="s">
        <v>11</v>
      </c>
      <c r="H132" s="8" t="s">
        <v>393</v>
      </c>
      <c r="I132" s="8" t="s">
        <v>394</v>
      </c>
    </row>
    <row r="133" spans="1:9">
      <c r="A133" s="5" t="s">
        <v>985</v>
      </c>
      <c r="B133" s="8" t="s">
        <v>47</v>
      </c>
      <c r="C133" s="8" t="s">
        <v>395</v>
      </c>
      <c r="D133" s="8" t="s">
        <v>11</v>
      </c>
      <c r="E133" s="8" t="s">
        <v>11</v>
      </c>
      <c r="F133" s="8" t="s">
        <v>11</v>
      </c>
      <c r="G133" s="8" t="s">
        <v>11</v>
      </c>
      <c r="H133" s="8" t="s">
        <v>396</v>
      </c>
      <c r="I133" s="8" t="s">
        <v>397</v>
      </c>
    </row>
    <row r="134" spans="1:9">
      <c r="A134" s="5" t="s">
        <v>986</v>
      </c>
      <c r="B134" s="8" t="s">
        <v>398</v>
      </c>
      <c r="C134" s="8" t="s">
        <v>399</v>
      </c>
      <c r="D134" s="8" t="s">
        <v>11</v>
      </c>
      <c r="E134" s="8" t="s">
        <v>11</v>
      </c>
      <c r="F134" s="8" t="s">
        <v>11</v>
      </c>
      <c r="G134" s="8" t="s">
        <v>11</v>
      </c>
      <c r="H134" s="8" t="s">
        <v>11</v>
      </c>
      <c r="I134" s="8" t="s">
        <v>400</v>
      </c>
    </row>
    <row r="135" spans="1:9">
      <c r="A135" s="5" t="s">
        <v>987</v>
      </c>
      <c r="B135" s="8" t="s">
        <v>401</v>
      </c>
      <c r="C135" s="8" t="s">
        <v>402</v>
      </c>
      <c r="D135" s="8" t="s">
        <v>284</v>
      </c>
      <c r="E135" s="8" t="s">
        <v>11</v>
      </c>
      <c r="F135" s="8" t="s">
        <v>11</v>
      </c>
      <c r="G135" s="8" t="s">
        <v>403</v>
      </c>
      <c r="H135" s="8" t="s">
        <v>404</v>
      </c>
      <c r="I135" s="8" t="s">
        <v>405</v>
      </c>
    </row>
    <row r="136" spans="1:9">
      <c r="A136" s="5" t="s">
        <v>988</v>
      </c>
      <c r="B136" s="8" t="s">
        <v>406</v>
      </c>
      <c r="C136" s="8" t="s">
        <v>212</v>
      </c>
      <c r="D136" s="8" t="s">
        <v>407</v>
      </c>
      <c r="E136" s="8" t="s">
        <v>11</v>
      </c>
      <c r="F136" s="8" t="s">
        <v>11</v>
      </c>
      <c r="G136" s="8" t="s">
        <v>11</v>
      </c>
      <c r="H136" s="8" t="s">
        <v>11</v>
      </c>
      <c r="I136" s="8" t="s">
        <v>408</v>
      </c>
    </row>
    <row r="137" spans="1:9">
      <c r="A137" s="5" t="s">
        <v>989</v>
      </c>
      <c r="B137" s="8" t="s">
        <v>409</v>
      </c>
      <c r="C137" s="8" t="s">
        <v>410</v>
      </c>
      <c r="D137" s="8" t="s">
        <v>11</v>
      </c>
      <c r="E137" s="8" t="s">
        <v>411</v>
      </c>
      <c r="F137" s="8" t="s">
        <v>11</v>
      </c>
      <c r="G137" s="8" t="s">
        <v>11</v>
      </c>
      <c r="H137" s="8" t="s">
        <v>11</v>
      </c>
      <c r="I137" s="8" t="s">
        <v>412</v>
      </c>
    </row>
    <row r="138" spans="1:9">
      <c r="A138" s="5" t="s">
        <v>990</v>
      </c>
      <c r="B138" s="8" t="s">
        <v>413</v>
      </c>
      <c r="C138" s="8" t="s">
        <v>414</v>
      </c>
      <c r="D138" s="8" t="s">
        <v>11</v>
      </c>
      <c r="E138" s="8" t="s">
        <v>11</v>
      </c>
      <c r="F138" s="8" t="s">
        <v>11</v>
      </c>
      <c r="G138" s="8" t="s">
        <v>11</v>
      </c>
      <c r="H138" s="8" t="s">
        <v>11</v>
      </c>
      <c r="I138" s="8" t="s">
        <v>415</v>
      </c>
    </row>
    <row r="139" spans="1:9">
      <c r="A139" s="5" t="s">
        <v>991</v>
      </c>
      <c r="B139" s="8" t="s">
        <v>11</v>
      </c>
      <c r="C139" s="8" t="s">
        <v>416</v>
      </c>
      <c r="D139" s="8" t="s">
        <v>11</v>
      </c>
      <c r="E139" s="8" t="s">
        <v>11</v>
      </c>
      <c r="F139" s="8" t="s">
        <v>417</v>
      </c>
      <c r="G139" s="8" t="s">
        <v>11</v>
      </c>
      <c r="H139" s="8" t="s">
        <v>11</v>
      </c>
      <c r="I139" s="8" t="s">
        <v>418</v>
      </c>
    </row>
    <row r="140" spans="1:9">
      <c r="A140" s="5" t="s">
        <v>992</v>
      </c>
      <c r="B140" s="8" t="s">
        <v>177</v>
      </c>
      <c r="C140" s="8" t="s">
        <v>375</v>
      </c>
      <c r="D140" s="8" t="s">
        <v>419</v>
      </c>
      <c r="E140" s="8" t="s">
        <v>11</v>
      </c>
      <c r="F140" s="8" t="s">
        <v>11</v>
      </c>
      <c r="G140" s="8" t="s">
        <v>11</v>
      </c>
      <c r="H140" s="8" t="s">
        <v>11</v>
      </c>
      <c r="I140" s="8" t="s">
        <v>420</v>
      </c>
    </row>
    <row r="141" spans="1:9">
      <c r="A141" s="5" t="s">
        <v>993</v>
      </c>
      <c r="B141" s="8" t="s">
        <v>101</v>
      </c>
      <c r="C141" s="8" t="s">
        <v>162</v>
      </c>
      <c r="D141" s="8" t="s">
        <v>11</v>
      </c>
      <c r="E141" s="8" t="s">
        <v>11</v>
      </c>
      <c r="F141" s="8" t="s">
        <v>11</v>
      </c>
      <c r="G141" s="8" t="s">
        <v>11</v>
      </c>
      <c r="H141" s="8" t="s">
        <v>11</v>
      </c>
      <c r="I141" s="8" t="s">
        <v>421</v>
      </c>
    </row>
    <row r="142" spans="1:9">
      <c r="A142" s="5" t="s">
        <v>994</v>
      </c>
      <c r="B142" s="8" t="s">
        <v>422</v>
      </c>
      <c r="C142" s="8" t="s">
        <v>423</v>
      </c>
      <c r="D142" s="8" t="s">
        <v>11</v>
      </c>
      <c r="E142" s="8" t="s">
        <v>424</v>
      </c>
      <c r="F142" s="8" t="s">
        <v>425</v>
      </c>
      <c r="G142" s="8" t="s">
        <v>11</v>
      </c>
      <c r="H142" s="8" t="s">
        <v>11</v>
      </c>
      <c r="I142" s="8" t="s">
        <v>426</v>
      </c>
    </row>
    <row r="143" spans="1:9">
      <c r="A143" s="5" t="s">
        <v>995</v>
      </c>
      <c r="B143" s="8" t="s">
        <v>427</v>
      </c>
      <c r="C143" s="8" t="s">
        <v>188</v>
      </c>
      <c r="D143" s="8" t="s">
        <v>11</v>
      </c>
      <c r="E143" s="8" t="s">
        <v>11</v>
      </c>
      <c r="F143" s="8" t="s">
        <v>11</v>
      </c>
      <c r="G143" s="8" t="s">
        <v>11</v>
      </c>
      <c r="H143" s="8" t="s">
        <v>11</v>
      </c>
      <c r="I143" s="8" t="s">
        <v>170</v>
      </c>
    </row>
    <row r="144" spans="1:9">
      <c r="A144" s="5" t="s">
        <v>996</v>
      </c>
      <c r="B144" s="8" t="s">
        <v>428</v>
      </c>
      <c r="C144" s="8" t="s">
        <v>429</v>
      </c>
      <c r="D144" s="8" t="s">
        <v>11</v>
      </c>
      <c r="E144" s="8" t="s">
        <v>11</v>
      </c>
      <c r="F144" s="8" t="s">
        <v>11</v>
      </c>
      <c r="G144" s="8" t="s">
        <v>11</v>
      </c>
      <c r="H144" s="8" t="s">
        <v>430</v>
      </c>
      <c r="I144" s="8" t="s">
        <v>431</v>
      </c>
    </row>
    <row r="145" spans="1:9">
      <c r="A145" s="5" t="s">
        <v>997</v>
      </c>
      <c r="B145" s="8" t="s">
        <v>135</v>
      </c>
      <c r="C145" s="8" t="s">
        <v>432</v>
      </c>
      <c r="D145" s="8" t="s">
        <v>11</v>
      </c>
      <c r="E145" s="8" t="s">
        <v>11</v>
      </c>
      <c r="F145" s="8" t="s">
        <v>11</v>
      </c>
      <c r="G145" s="8" t="s">
        <v>11</v>
      </c>
      <c r="H145" s="8" t="s">
        <v>11</v>
      </c>
      <c r="I145" s="8" t="s">
        <v>280</v>
      </c>
    </row>
    <row r="146" spans="1:9">
      <c r="A146" s="5" t="s">
        <v>998</v>
      </c>
      <c r="B146" s="8" t="s">
        <v>85</v>
      </c>
      <c r="C146" s="8" t="s">
        <v>433</v>
      </c>
      <c r="D146" s="8" t="s">
        <v>11</v>
      </c>
      <c r="E146" s="8" t="s">
        <v>11</v>
      </c>
      <c r="F146" s="8" t="s">
        <v>11</v>
      </c>
      <c r="G146" s="8" t="s">
        <v>11</v>
      </c>
      <c r="H146" s="8" t="s">
        <v>11</v>
      </c>
      <c r="I146" s="8" t="s">
        <v>434</v>
      </c>
    </row>
    <row r="147" spans="1:9">
      <c r="A147" s="5" t="s">
        <v>999</v>
      </c>
      <c r="B147" s="8" t="s">
        <v>435</v>
      </c>
      <c r="C147" s="8" t="s">
        <v>436</v>
      </c>
      <c r="D147" s="8" t="s">
        <v>11</v>
      </c>
      <c r="E147" s="8" t="s">
        <v>437</v>
      </c>
      <c r="F147" s="8" t="s">
        <v>11</v>
      </c>
      <c r="G147" s="8" t="s">
        <v>11</v>
      </c>
      <c r="H147" s="8" t="s">
        <v>438</v>
      </c>
      <c r="I147" s="8" t="s">
        <v>439</v>
      </c>
    </row>
    <row r="148" spans="1:9">
      <c r="A148" s="5" t="s">
        <v>1000</v>
      </c>
      <c r="B148" s="8" t="s">
        <v>440</v>
      </c>
      <c r="C148" s="8" t="s">
        <v>441</v>
      </c>
      <c r="D148" s="8" t="s">
        <v>11</v>
      </c>
      <c r="E148" s="8" t="s">
        <v>11</v>
      </c>
      <c r="F148" s="8" t="s">
        <v>11</v>
      </c>
      <c r="G148" s="8" t="s">
        <v>11</v>
      </c>
      <c r="H148" s="8" t="s">
        <v>11</v>
      </c>
      <c r="I148" s="8" t="s">
        <v>442</v>
      </c>
    </row>
    <row r="149" spans="1:9">
      <c r="A149" s="5" t="s">
        <v>1001</v>
      </c>
      <c r="B149" s="8" t="s">
        <v>11</v>
      </c>
      <c r="C149" s="8" t="s">
        <v>443</v>
      </c>
      <c r="D149" s="8" t="s">
        <v>11</v>
      </c>
      <c r="E149" s="8" t="s">
        <v>11</v>
      </c>
      <c r="F149" s="8" t="s">
        <v>11</v>
      </c>
      <c r="G149" s="8" t="s">
        <v>11</v>
      </c>
      <c r="H149" s="8" t="s">
        <v>11</v>
      </c>
      <c r="I149" s="8" t="s">
        <v>283</v>
      </c>
    </row>
    <row r="150" spans="1:9">
      <c r="A150" s="5" t="s">
        <v>1002</v>
      </c>
      <c r="B150" s="8" t="s">
        <v>444</v>
      </c>
      <c r="C150" s="8" t="s">
        <v>445</v>
      </c>
      <c r="D150" s="8" t="s">
        <v>446</v>
      </c>
      <c r="E150" s="8" t="s">
        <v>11</v>
      </c>
      <c r="F150" s="8" t="s">
        <v>11</v>
      </c>
      <c r="G150" s="8" t="s">
        <v>11</v>
      </c>
      <c r="H150" s="8" t="s">
        <v>11</v>
      </c>
      <c r="I150" s="8" t="s">
        <v>408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27" zoomScaleNormal="175" workbookViewId="0">
      <selection sqref="A1:Q1048576"/>
    </sheetView>
  </sheetViews>
  <sheetFormatPr defaultRowHeight="14.4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9" customFormat="1" ht="39.6">
      <c r="A1" s="4" t="s">
        <v>0</v>
      </c>
      <c r="B1" s="4" t="s">
        <v>447</v>
      </c>
      <c r="C1" s="4" t="s">
        <v>448</v>
      </c>
      <c r="D1" s="4" t="s">
        <v>449</v>
      </c>
      <c r="E1" s="4" t="s">
        <v>450</v>
      </c>
      <c r="F1" s="4" t="s">
        <v>451</v>
      </c>
      <c r="G1" s="4" t="s">
        <v>452</v>
      </c>
      <c r="H1" s="4" t="s">
        <v>453</v>
      </c>
      <c r="I1" s="4" t="s">
        <v>454</v>
      </c>
      <c r="J1" s="4" t="s">
        <v>455</v>
      </c>
      <c r="K1" s="4" t="s">
        <v>456</v>
      </c>
      <c r="L1" s="4" t="s">
        <v>457</v>
      </c>
      <c r="M1" s="4" t="s">
        <v>458</v>
      </c>
      <c r="N1" s="4" t="s">
        <v>459</v>
      </c>
      <c r="O1" s="4" t="s">
        <v>460</v>
      </c>
      <c r="P1" s="4" t="s">
        <v>461</v>
      </c>
      <c r="Q1" s="4" t="s">
        <v>462</v>
      </c>
    </row>
    <row r="2" spans="1:17">
      <c r="A2" s="5" t="s">
        <v>854</v>
      </c>
      <c r="B2" s="8" t="s">
        <v>463</v>
      </c>
      <c r="C2" s="8" t="s">
        <v>464</v>
      </c>
      <c r="D2" s="6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6">
        <v>2</v>
      </c>
      <c r="O2" s="6">
        <v>3</v>
      </c>
      <c r="P2" s="6">
        <v>0</v>
      </c>
      <c r="Q2" s="6">
        <v>0</v>
      </c>
    </row>
    <row r="3" spans="1:17">
      <c r="A3" s="5" t="s">
        <v>855</v>
      </c>
      <c r="B3" s="8" t="s">
        <v>465</v>
      </c>
      <c r="C3" s="8" t="s">
        <v>466</v>
      </c>
      <c r="D3" s="6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6">
        <v>2</v>
      </c>
      <c r="O3" s="6">
        <v>1</v>
      </c>
      <c r="P3" s="6">
        <v>0</v>
      </c>
      <c r="Q3" s="6">
        <v>0</v>
      </c>
    </row>
    <row r="4" spans="1:17">
      <c r="A4" s="5" t="s">
        <v>856</v>
      </c>
      <c r="B4" s="8" t="s">
        <v>467</v>
      </c>
      <c r="C4" s="8" t="s">
        <v>468</v>
      </c>
      <c r="D4" s="6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6">
        <v>6</v>
      </c>
      <c r="O4" s="6">
        <v>3</v>
      </c>
      <c r="P4" s="6">
        <v>4</v>
      </c>
      <c r="Q4" s="6">
        <v>1</v>
      </c>
    </row>
    <row r="5" spans="1:17">
      <c r="A5" s="5" t="s">
        <v>857</v>
      </c>
      <c r="B5" s="8" t="s">
        <v>469</v>
      </c>
      <c r="C5" s="8" t="s">
        <v>470</v>
      </c>
      <c r="D5" s="6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6">
        <v>1</v>
      </c>
      <c r="O5" s="6">
        <v>2</v>
      </c>
      <c r="P5" s="6">
        <v>0</v>
      </c>
      <c r="Q5" s="6">
        <v>0</v>
      </c>
    </row>
    <row r="6" spans="1:17">
      <c r="A6" s="5" t="s">
        <v>858</v>
      </c>
      <c r="B6" s="8" t="s">
        <v>471</v>
      </c>
      <c r="C6" s="8" t="s">
        <v>472</v>
      </c>
      <c r="D6" s="6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6">
        <v>0</v>
      </c>
      <c r="O6" s="6">
        <v>4</v>
      </c>
      <c r="P6" s="6">
        <v>0</v>
      </c>
      <c r="Q6" s="6">
        <v>0</v>
      </c>
    </row>
    <row r="7" spans="1:17">
      <c r="A7" s="5" t="s">
        <v>859</v>
      </c>
      <c r="B7" s="8" t="s">
        <v>473</v>
      </c>
      <c r="C7" s="8" t="s">
        <v>474</v>
      </c>
      <c r="D7" s="6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6">
        <v>2</v>
      </c>
      <c r="O7" s="6">
        <v>8</v>
      </c>
      <c r="P7" s="6">
        <v>2</v>
      </c>
      <c r="Q7" s="6">
        <v>0</v>
      </c>
    </row>
    <row r="8" spans="1:17">
      <c r="A8" s="5" t="s">
        <v>860</v>
      </c>
      <c r="B8" s="8" t="s">
        <v>475</v>
      </c>
      <c r="C8" s="8" t="s">
        <v>476</v>
      </c>
      <c r="D8" s="6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6">
        <v>0</v>
      </c>
      <c r="O8" s="6">
        <v>0</v>
      </c>
      <c r="P8" s="6">
        <v>0</v>
      </c>
      <c r="Q8" s="6">
        <v>0</v>
      </c>
    </row>
    <row r="9" spans="1:17">
      <c r="A9" s="5" t="s">
        <v>861</v>
      </c>
      <c r="B9" s="8" t="s">
        <v>477</v>
      </c>
      <c r="C9" s="8" t="s">
        <v>478</v>
      </c>
      <c r="D9" s="6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6">
        <v>0</v>
      </c>
      <c r="O9" s="6">
        <v>8</v>
      </c>
      <c r="P9" s="6">
        <v>3</v>
      </c>
      <c r="Q9" s="6">
        <v>1</v>
      </c>
    </row>
    <row r="10" spans="1:17">
      <c r="A10" s="5" t="s">
        <v>862</v>
      </c>
      <c r="B10" s="8" t="s">
        <v>479</v>
      </c>
      <c r="C10" s="8" t="s">
        <v>480</v>
      </c>
      <c r="D10" s="6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6">
        <v>4</v>
      </c>
      <c r="O10" s="6">
        <v>0</v>
      </c>
      <c r="P10" s="6">
        <v>0</v>
      </c>
      <c r="Q10" s="6">
        <v>0</v>
      </c>
    </row>
    <row r="11" spans="1:17">
      <c r="A11" s="5" t="s">
        <v>863</v>
      </c>
      <c r="B11" s="8" t="s">
        <v>481</v>
      </c>
      <c r="C11" s="8" t="s">
        <v>482</v>
      </c>
      <c r="D11" s="6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6">
        <v>2</v>
      </c>
      <c r="O11" s="6">
        <v>0</v>
      </c>
      <c r="P11" s="6">
        <v>0</v>
      </c>
      <c r="Q11" s="6">
        <v>0</v>
      </c>
    </row>
    <row r="12" spans="1:17">
      <c r="A12" s="5" t="s">
        <v>864</v>
      </c>
      <c r="B12" s="8" t="s">
        <v>483</v>
      </c>
      <c r="C12" s="8" t="s">
        <v>484</v>
      </c>
      <c r="D12" s="6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6">
        <v>2</v>
      </c>
      <c r="O12" s="6">
        <v>3</v>
      </c>
      <c r="P12" s="6">
        <v>3</v>
      </c>
      <c r="Q12" s="6">
        <v>0</v>
      </c>
    </row>
    <row r="13" spans="1:17">
      <c r="A13" s="5" t="s">
        <v>865</v>
      </c>
      <c r="B13" s="8" t="s">
        <v>485</v>
      </c>
      <c r="C13" s="8" t="s">
        <v>486</v>
      </c>
      <c r="D13" s="6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6">
        <v>0</v>
      </c>
      <c r="O13" s="6">
        <v>8</v>
      </c>
      <c r="P13" s="6">
        <v>0</v>
      </c>
      <c r="Q13" s="6">
        <v>0</v>
      </c>
    </row>
    <row r="14" spans="1:17">
      <c r="A14" s="5" t="s">
        <v>866</v>
      </c>
      <c r="B14" s="8" t="s">
        <v>487</v>
      </c>
      <c r="C14" s="8" t="s">
        <v>488</v>
      </c>
      <c r="D14" s="6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6">
        <v>1</v>
      </c>
      <c r="O14" s="6">
        <v>9</v>
      </c>
      <c r="P14" s="6">
        <v>0</v>
      </c>
      <c r="Q14" s="6">
        <v>0</v>
      </c>
    </row>
    <row r="15" spans="1:17">
      <c r="A15" s="5" t="s">
        <v>867</v>
      </c>
      <c r="B15" s="8" t="s">
        <v>489</v>
      </c>
      <c r="C15" s="8" t="s">
        <v>490</v>
      </c>
      <c r="D15" s="6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6">
        <v>1</v>
      </c>
      <c r="O15" s="6">
        <v>8</v>
      </c>
      <c r="P15" s="6">
        <v>3</v>
      </c>
      <c r="Q15" s="6">
        <v>1</v>
      </c>
    </row>
    <row r="16" spans="1:17">
      <c r="A16" s="5" t="s">
        <v>868</v>
      </c>
      <c r="B16" s="8" t="s">
        <v>491</v>
      </c>
      <c r="C16" s="8" t="s">
        <v>492</v>
      </c>
      <c r="D16" s="6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6">
        <v>2</v>
      </c>
      <c r="O16" s="6">
        <v>4</v>
      </c>
      <c r="P16" s="6">
        <v>7</v>
      </c>
      <c r="Q16" s="6">
        <v>0</v>
      </c>
    </row>
    <row r="17" spans="1:17">
      <c r="A17" s="5" t="s">
        <v>869</v>
      </c>
      <c r="B17" s="8" t="s">
        <v>493</v>
      </c>
      <c r="C17" s="8" t="s">
        <v>494</v>
      </c>
      <c r="D17" s="6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6">
        <v>2</v>
      </c>
      <c r="O17" s="6">
        <v>1</v>
      </c>
      <c r="P17" s="6">
        <v>0</v>
      </c>
      <c r="Q17" s="6">
        <v>0</v>
      </c>
    </row>
    <row r="18" spans="1:17">
      <c r="A18" s="5" t="s">
        <v>870</v>
      </c>
      <c r="B18" s="8" t="s">
        <v>495</v>
      </c>
      <c r="C18" s="8" t="s">
        <v>496</v>
      </c>
      <c r="D18" s="6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6">
        <v>1</v>
      </c>
      <c r="O18" s="6">
        <v>1</v>
      </c>
      <c r="P18" s="6">
        <v>0</v>
      </c>
      <c r="Q18" s="6">
        <v>1</v>
      </c>
    </row>
    <row r="19" spans="1:17">
      <c r="A19" s="5" t="s">
        <v>871</v>
      </c>
      <c r="B19" s="8" t="s">
        <v>497</v>
      </c>
      <c r="C19" s="8" t="s">
        <v>482</v>
      </c>
      <c r="D19" s="6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6">
        <v>2</v>
      </c>
      <c r="O19" s="6">
        <v>0</v>
      </c>
      <c r="P19" s="6">
        <v>0</v>
      </c>
      <c r="Q19" s="6">
        <v>0</v>
      </c>
    </row>
    <row r="20" spans="1:17">
      <c r="A20" s="5" t="s">
        <v>872</v>
      </c>
      <c r="B20" s="8" t="s">
        <v>498</v>
      </c>
      <c r="C20" s="8" t="s">
        <v>499</v>
      </c>
      <c r="D20" s="6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6">
        <v>6</v>
      </c>
      <c r="O20" s="6">
        <v>5</v>
      </c>
      <c r="P20" s="6">
        <v>3</v>
      </c>
      <c r="Q20" s="6">
        <v>0</v>
      </c>
    </row>
    <row r="21" spans="1:17">
      <c r="A21" s="5" t="s">
        <v>873</v>
      </c>
      <c r="B21" s="8" t="s">
        <v>500</v>
      </c>
      <c r="C21" s="8" t="s">
        <v>501</v>
      </c>
      <c r="D21" s="6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6">
        <v>4</v>
      </c>
      <c r="O21" s="6">
        <v>1</v>
      </c>
      <c r="P21" s="6">
        <v>1</v>
      </c>
      <c r="Q21" s="6">
        <v>0</v>
      </c>
    </row>
    <row r="22" spans="1:17">
      <c r="A22" s="5" t="s">
        <v>874</v>
      </c>
      <c r="B22" s="8" t="s">
        <v>502</v>
      </c>
      <c r="C22" s="8" t="s">
        <v>503</v>
      </c>
      <c r="D22" s="6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6">
        <v>2</v>
      </c>
      <c r="O22" s="6">
        <v>0</v>
      </c>
      <c r="P22" s="6">
        <v>0</v>
      </c>
      <c r="Q22" s="6">
        <v>0</v>
      </c>
    </row>
    <row r="23" spans="1:17">
      <c r="A23" s="5" t="s">
        <v>875</v>
      </c>
      <c r="B23" s="8" t="s">
        <v>504</v>
      </c>
      <c r="C23" s="8" t="s">
        <v>505</v>
      </c>
      <c r="D23" s="6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6">
        <v>3</v>
      </c>
      <c r="O23" s="6">
        <v>1</v>
      </c>
      <c r="P23" s="6">
        <v>0</v>
      </c>
      <c r="Q23" s="6">
        <v>0</v>
      </c>
    </row>
    <row r="24" spans="1:17">
      <c r="A24" s="5" t="s">
        <v>876</v>
      </c>
      <c r="B24" s="8" t="s">
        <v>506</v>
      </c>
      <c r="C24" s="8" t="s">
        <v>507</v>
      </c>
      <c r="D24" s="6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6">
        <v>1</v>
      </c>
      <c r="O24" s="6">
        <v>7</v>
      </c>
      <c r="P24" s="6">
        <v>1</v>
      </c>
      <c r="Q24" s="6">
        <v>0</v>
      </c>
    </row>
    <row r="25" spans="1:17">
      <c r="A25" s="5" t="s">
        <v>877</v>
      </c>
      <c r="B25" s="8" t="s">
        <v>508</v>
      </c>
      <c r="C25" s="8" t="s">
        <v>509</v>
      </c>
      <c r="D25" s="6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6">
        <v>1</v>
      </c>
      <c r="O25" s="6">
        <v>2</v>
      </c>
      <c r="P25" s="6">
        <v>0</v>
      </c>
      <c r="Q25" s="6">
        <v>1</v>
      </c>
    </row>
    <row r="26" spans="1:17">
      <c r="A26" s="5" t="s">
        <v>878</v>
      </c>
      <c r="B26" s="8" t="s">
        <v>510</v>
      </c>
      <c r="C26" s="8" t="s">
        <v>511</v>
      </c>
      <c r="D26" s="6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6">
        <v>1</v>
      </c>
      <c r="O26" s="6">
        <v>4</v>
      </c>
      <c r="P26" s="6">
        <v>1</v>
      </c>
      <c r="Q26" s="6">
        <v>1</v>
      </c>
    </row>
    <row r="27" spans="1:17">
      <c r="A27" s="5" t="s">
        <v>879</v>
      </c>
      <c r="B27" s="8" t="s">
        <v>512</v>
      </c>
      <c r="C27" s="8" t="s">
        <v>513</v>
      </c>
      <c r="D27" s="6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6">
        <v>1</v>
      </c>
      <c r="O27" s="6">
        <v>3</v>
      </c>
      <c r="P27" s="6">
        <v>0</v>
      </c>
      <c r="Q27" s="6">
        <v>0</v>
      </c>
    </row>
    <row r="28" spans="1:17">
      <c r="A28" s="5" t="s">
        <v>880</v>
      </c>
      <c r="B28" s="8" t="s">
        <v>491</v>
      </c>
      <c r="C28" s="8" t="s">
        <v>514</v>
      </c>
      <c r="D28" s="6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6">
        <v>1</v>
      </c>
      <c r="O28" s="6">
        <v>0</v>
      </c>
      <c r="P28" s="6">
        <v>5</v>
      </c>
      <c r="Q28" s="6">
        <v>0</v>
      </c>
    </row>
    <row r="29" spans="1:17">
      <c r="A29" s="5" t="s">
        <v>881</v>
      </c>
      <c r="B29" s="8" t="s">
        <v>515</v>
      </c>
      <c r="C29" s="8" t="s">
        <v>516</v>
      </c>
      <c r="D29" s="6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6">
        <v>0</v>
      </c>
      <c r="O29" s="6">
        <v>11</v>
      </c>
      <c r="P29" s="6">
        <v>1</v>
      </c>
      <c r="Q29" s="6">
        <v>1</v>
      </c>
    </row>
    <row r="30" spans="1:17">
      <c r="A30" s="5" t="s">
        <v>882</v>
      </c>
      <c r="B30" s="8" t="s">
        <v>517</v>
      </c>
      <c r="C30" s="8" t="s">
        <v>518</v>
      </c>
      <c r="D30" s="6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6">
        <v>1</v>
      </c>
      <c r="O30" s="6">
        <v>11</v>
      </c>
      <c r="P30" s="6">
        <v>2</v>
      </c>
      <c r="Q30" s="6">
        <v>0</v>
      </c>
    </row>
    <row r="31" spans="1:17">
      <c r="A31" s="5" t="s">
        <v>883</v>
      </c>
      <c r="B31" s="8" t="s">
        <v>519</v>
      </c>
      <c r="C31" s="8" t="s">
        <v>520</v>
      </c>
      <c r="D31" s="6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6">
        <v>5</v>
      </c>
      <c r="O31" s="6">
        <v>5</v>
      </c>
      <c r="P31" s="6">
        <v>3</v>
      </c>
      <c r="Q31" s="6">
        <v>1</v>
      </c>
    </row>
    <row r="32" spans="1:17">
      <c r="A32" s="5" t="s">
        <v>884</v>
      </c>
      <c r="B32" s="8" t="s">
        <v>521</v>
      </c>
      <c r="C32" s="8" t="s">
        <v>522</v>
      </c>
      <c r="D32" s="6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6">
        <v>0</v>
      </c>
      <c r="O32" s="6">
        <v>9</v>
      </c>
      <c r="P32" s="6">
        <v>1</v>
      </c>
      <c r="Q32" s="6">
        <v>1</v>
      </c>
    </row>
    <row r="33" spans="1:17">
      <c r="A33" s="5" t="s">
        <v>885</v>
      </c>
      <c r="B33" s="8" t="s">
        <v>523</v>
      </c>
      <c r="C33" s="8" t="s">
        <v>524</v>
      </c>
      <c r="D33" s="6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6">
        <v>1</v>
      </c>
      <c r="O33" s="6">
        <v>15</v>
      </c>
      <c r="P33" s="6">
        <v>1</v>
      </c>
      <c r="Q33" s="6">
        <v>0</v>
      </c>
    </row>
    <row r="34" spans="1:17">
      <c r="A34" s="5" t="s">
        <v>886</v>
      </c>
      <c r="B34" s="8" t="s">
        <v>525</v>
      </c>
      <c r="C34" s="8" t="s">
        <v>526</v>
      </c>
      <c r="D34" s="6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6">
        <v>2</v>
      </c>
      <c r="O34" s="6">
        <v>1</v>
      </c>
      <c r="P34" s="6">
        <v>0</v>
      </c>
      <c r="Q34" s="6">
        <v>0</v>
      </c>
    </row>
    <row r="35" spans="1:17">
      <c r="A35" s="5" t="s">
        <v>887</v>
      </c>
      <c r="B35" s="8" t="s">
        <v>527</v>
      </c>
      <c r="C35" s="8" t="s">
        <v>528</v>
      </c>
      <c r="D35" s="6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6">
        <v>2</v>
      </c>
      <c r="O35" s="6">
        <v>2</v>
      </c>
      <c r="P35" s="6">
        <v>0</v>
      </c>
      <c r="Q35" s="6">
        <v>0</v>
      </c>
    </row>
    <row r="36" spans="1:17">
      <c r="A36" s="5" t="s">
        <v>888</v>
      </c>
      <c r="B36" s="8" t="s">
        <v>529</v>
      </c>
      <c r="C36" s="8" t="s">
        <v>530</v>
      </c>
      <c r="D36" s="6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6">
        <v>2</v>
      </c>
      <c r="O36" s="6">
        <v>1</v>
      </c>
      <c r="P36" s="6">
        <v>0</v>
      </c>
      <c r="Q36" s="6">
        <v>0</v>
      </c>
    </row>
    <row r="37" spans="1:17">
      <c r="A37" s="5" t="s">
        <v>889</v>
      </c>
      <c r="B37" s="8" t="s">
        <v>531</v>
      </c>
      <c r="C37" s="8" t="s">
        <v>532</v>
      </c>
      <c r="D37" s="6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6">
        <v>1</v>
      </c>
      <c r="O37" s="6">
        <v>1</v>
      </c>
      <c r="P37" s="6">
        <v>0</v>
      </c>
      <c r="Q37" s="6">
        <v>0</v>
      </c>
    </row>
    <row r="38" spans="1:17">
      <c r="A38" s="5" t="s">
        <v>890</v>
      </c>
      <c r="B38" s="8" t="s">
        <v>533</v>
      </c>
      <c r="C38" s="8" t="s">
        <v>534</v>
      </c>
      <c r="D38" s="6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6">
        <v>2</v>
      </c>
      <c r="O38" s="6">
        <v>3</v>
      </c>
      <c r="P38" s="6">
        <v>0</v>
      </c>
      <c r="Q38" s="6">
        <v>0</v>
      </c>
    </row>
    <row r="39" spans="1:17">
      <c r="A39" s="5" t="s">
        <v>891</v>
      </c>
      <c r="B39" s="8" t="s">
        <v>535</v>
      </c>
      <c r="C39" s="8" t="s">
        <v>536</v>
      </c>
      <c r="D39" s="6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6">
        <v>1</v>
      </c>
      <c r="O39" s="6">
        <v>11</v>
      </c>
      <c r="P39" s="6">
        <v>1</v>
      </c>
      <c r="Q39" s="6">
        <v>0</v>
      </c>
    </row>
    <row r="40" spans="1:17">
      <c r="A40" s="5" t="s">
        <v>892</v>
      </c>
      <c r="B40" s="8" t="s">
        <v>537</v>
      </c>
      <c r="C40" s="8" t="s">
        <v>538</v>
      </c>
      <c r="D40" s="6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6">
        <v>1</v>
      </c>
      <c r="O40" s="6">
        <v>4</v>
      </c>
      <c r="P40" s="6">
        <v>0</v>
      </c>
      <c r="Q40" s="6">
        <v>0</v>
      </c>
    </row>
    <row r="41" spans="1:17">
      <c r="A41" s="5" t="s">
        <v>893</v>
      </c>
      <c r="B41" s="8" t="s">
        <v>539</v>
      </c>
      <c r="C41" s="8" t="s">
        <v>540</v>
      </c>
      <c r="D41" s="6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6">
        <v>1</v>
      </c>
      <c r="O41" s="6">
        <v>3</v>
      </c>
      <c r="P41" s="6">
        <v>0</v>
      </c>
      <c r="Q41" s="6">
        <v>1</v>
      </c>
    </row>
    <row r="42" spans="1:17">
      <c r="A42" s="5" t="s">
        <v>894</v>
      </c>
      <c r="B42" s="8" t="s">
        <v>541</v>
      </c>
      <c r="C42" s="8" t="s">
        <v>542</v>
      </c>
      <c r="D42" s="6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6">
        <v>3</v>
      </c>
      <c r="O42" s="6">
        <v>1</v>
      </c>
      <c r="P42" s="6">
        <v>0</v>
      </c>
      <c r="Q42" s="6">
        <v>0</v>
      </c>
    </row>
    <row r="43" spans="1:17">
      <c r="A43" s="5" t="s">
        <v>895</v>
      </c>
      <c r="B43" s="8" t="s">
        <v>543</v>
      </c>
      <c r="C43" s="8" t="s">
        <v>544</v>
      </c>
      <c r="D43" s="6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6">
        <v>1</v>
      </c>
      <c r="O43" s="6">
        <v>1</v>
      </c>
      <c r="P43" s="6">
        <v>1</v>
      </c>
      <c r="Q43" s="6">
        <v>2</v>
      </c>
    </row>
    <row r="44" spans="1:17">
      <c r="A44" s="5" t="s">
        <v>896</v>
      </c>
      <c r="B44" s="8" t="s">
        <v>545</v>
      </c>
      <c r="C44" s="8" t="s">
        <v>546</v>
      </c>
      <c r="D44" s="6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6">
        <v>1</v>
      </c>
      <c r="O44" s="6">
        <v>0</v>
      </c>
      <c r="P44" s="6">
        <v>0</v>
      </c>
      <c r="Q44" s="6">
        <v>0</v>
      </c>
    </row>
    <row r="45" spans="1:17">
      <c r="A45" s="5" t="s">
        <v>897</v>
      </c>
      <c r="B45" s="8" t="s">
        <v>547</v>
      </c>
      <c r="C45" s="8" t="s">
        <v>548</v>
      </c>
      <c r="D45" s="6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6">
        <v>7</v>
      </c>
      <c r="O45" s="6">
        <v>6</v>
      </c>
      <c r="P45" s="6">
        <v>0</v>
      </c>
      <c r="Q45" s="6">
        <v>0</v>
      </c>
    </row>
    <row r="46" spans="1:17">
      <c r="A46" s="5" t="s">
        <v>898</v>
      </c>
      <c r="B46" s="8" t="s">
        <v>549</v>
      </c>
      <c r="C46" s="8" t="s">
        <v>550</v>
      </c>
      <c r="D46" s="6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6">
        <v>3</v>
      </c>
      <c r="O46" s="6">
        <v>2</v>
      </c>
      <c r="P46" s="6">
        <v>1</v>
      </c>
      <c r="Q46" s="6">
        <v>2</v>
      </c>
    </row>
    <row r="47" spans="1:17">
      <c r="A47" s="5" t="s">
        <v>899</v>
      </c>
      <c r="B47" s="8" t="s">
        <v>551</v>
      </c>
      <c r="C47" s="8" t="s">
        <v>552</v>
      </c>
      <c r="D47" s="6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6">
        <v>3</v>
      </c>
      <c r="O47" s="6">
        <v>0</v>
      </c>
      <c r="P47" s="6">
        <v>1</v>
      </c>
      <c r="Q47" s="6">
        <v>0</v>
      </c>
    </row>
    <row r="48" spans="1:17">
      <c r="A48" s="5" t="s">
        <v>900</v>
      </c>
      <c r="B48" s="8" t="s">
        <v>553</v>
      </c>
      <c r="C48" s="8" t="s">
        <v>554</v>
      </c>
      <c r="D48" s="6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6">
        <v>5</v>
      </c>
      <c r="O48" s="6">
        <v>8</v>
      </c>
      <c r="P48" s="6">
        <v>2</v>
      </c>
      <c r="Q48" s="6">
        <v>0</v>
      </c>
    </row>
    <row r="49" spans="1:17">
      <c r="A49" s="5" t="s">
        <v>901</v>
      </c>
      <c r="B49" s="8" t="s">
        <v>555</v>
      </c>
      <c r="C49" s="8" t="s">
        <v>556</v>
      </c>
      <c r="D49" s="6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6">
        <v>3</v>
      </c>
      <c r="O49" s="6">
        <v>0</v>
      </c>
      <c r="P49" s="6">
        <v>0</v>
      </c>
      <c r="Q49" s="6">
        <v>0</v>
      </c>
    </row>
    <row r="50" spans="1:17">
      <c r="A50" s="5" t="s">
        <v>902</v>
      </c>
      <c r="B50" s="8" t="s">
        <v>557</v>
      </c>
      <c r="C50" s="8" t="s">
        <v>558</v>
      </c>
      <c r="D50" s="6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6">
        <v>0</v>
      </c>
      <c r="O50" s="6">
        <v>3</v>
      </c>
      <c r="P50" s="6">
        <v>0</v>
      </c>
      <c r="Q50" s="6">
        <v>2</v>
      </c>
    </row>
    <row r="51" spans="1:17">
      <c r="A51" s="5" t="s">
        <v>903</v>
      </c>
      <c r="B51" s="8" t="s">
        <v>559</v>
      </c>
      <c r="C51" s="8" t="s">
        <v>560</v>
      </c>
      <c r="D51" s="6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6">
        <v>2</v>
      </c>
      <c r="O51" s="6">
        <v>2</v>
      </c>
      <c r="P51" s="6">
        <v>3</v>
      </c>
      <c r="Q51" s="6">
        <v>0</v>
      </c>
    </row>
    <row r="52" spans="1:17">
      <c r="A52" s="5" t="s">
        <v>904</v>
      </c>
      <c r="B52" s="8" t="s">
        <v>561</v>
      </c>
      <c r="C52" s="8" t="s">
        <v>562</v>
      </c>
      <c r="D52" s="6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6">
        <v>1</v>
      </c>
      <c r="O52" s="6">
        <v>6</v>
      </c>
      <c r="P52" s="6">
        <v>0</v>
      </c>
      <c r="Q52" s="6">
        <v>0</v>
      </c>
    </row>
    <row r="53" spans="1:17">
      <c r="A53" s="5" t="s">
        <v>905</v>
      </c>
      <c r="B53" s="8" t="s">
        <v>563</v>
      </c>
      <c r="C53" s="8" t="s">
        <v>564</v>
      </c>
      <c r="D53" s="6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6">
        <v>2</v>
      </c>
      <c r="O53" s="6">
        <v>1</v>
      </c>
      <c r="P53" s="6">
        <v>0</v>
      </c>
      <c r="Q53" s="6">
        <v>0</v>
      </c>
    </row>
    <row r="54" spans="1:17">
      <c r="A54" s="5" t="s">
        <v>906</v>
      </c>
      <c r="B54" s="8" t="s">
        <v>565</v>
      </c>
      <c r="C54" s="8" t="s">
        <v>566</v>
      </c>
      <c r="D54" s="6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6">
        <v>1</v>
      </c>
      <c r="O54" s="6">
        <v>3</v>
      </c>
      <c r="P54" s="6">
        <v>1</v>
      </c>
      <c r="Q54" s="6">
        <v>1</v>
      </c>
    </row>
    <row r="55" spans="1:17">
      <c r="A55" s="5" t="s">
        <v>907</v>
      </c>
      <c r="B55" s="8" t="s">
        <v>567</v>
      </c>
      <c r="C55" s="8" t="s">
        <v>568</v>
      </c>
      <c r="D55" s="6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6">
        <v>1</v>
      </c>
      <c r="O55" s="6">
        <v>9</v>
      </c>
      <c r="P55" s="6">
        <v>0</v>
      </c>
      <c r="Q55" s="6">
        <v>0</v>
      </c>
    </row>
    <row r="56" spans="1:17">
      <c r="A56" s="5" t="s">
        <v>908</v>
      </c>
      <c r="B56" s="8" t="s">
        <v>569</v>
      </c>
      <c r="C56" s="8" t="s">
        <v>570</v>
      </c>
      <c r="D56" s="6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6">
        <v>0</v>
      </c>
      <c r="O56" s="6">
        <v>7</v>
      </c>
      <c r="P56" s="6">
        <v>0</v>
      </c>
      <c r="Q56" s="6">
        <v>0</v>
      </c>
    </row>
    <row r="57" spans="1:17">
      <c r="A57" s="5" t="s">
        <v>909</v>
      </c>
      <c r="B57" s="8" t="s">
        <v>571</v>
      </c>
      <c r="C57" s="8" t="s">
        <v>572</v>
      </c>
      <c r="D57" s="6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6">
        <v>0</v>
      </c>
      <c r="O57" s="6">
        <v>1</v>
      </c>
      <c r="P57" s="6">
        <v>0</v>
      </c>
      <c r="Q57" s="6">
        <v>7</v>
      </c>
    </row>
    <row r="58" spans="1:17">
      <c r="A58" s="5" t="s">
        <v>910</v>
      </c>
      <c r="B58" s="8" t="s">
        <v>573</v>
      </c>
      <c r="C58" s="8" t="s">
        <v>574</v>
      </c>
      <c r="D58" s="6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6">
        <v>0</v>
      </c>
      <c r="O58" s="6">
        <v>1</v>
      </c>
      <c r="P58" s="6">
        <v>0</v>
      </c>
      <c r="Q58" s="6">
        <v>0</v>
      </c>
    </row>
    <row r="59" spans="1:17">
      <c r="A59" s="5" t="s">
        <v>911</v>
      </c>
      <c r="B59" s="8" t="s">
        <v>508</v>
      </c>
      <c r="C59" s="8" t="s">
        <v>575</v>
      </c>
      <c r="D59" s="6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6">
        <v>0</v>
      </c>
      <c r="O59" s="6">
        <v>3</v>
      </c>
      <c r="P59" s="6">
        <v>0</v>
      </c>
      <c r="Q59" s="6">
        <v>1</v>
      </c>
    </row>
    <row r="60" spans="1:17">
      <c r="A60" s="5" t="s">
        <v>912</v>
      </c>
      <c r="B60" s="8" t="s">
        <v>576</v>
      </c>
      <c r="C60" s="8" t="s">
        <v>577</v>
      </c>
      <c r="D60" s="6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6">
        <v>2</v>
      </c>
      <c r="O60" s="6">
        <v>1</v>
      </c>
      <c r="P60" s="6">
        <v>4</v>
      </c>
      <c r="Q60" s="6">
        <v>0</v>
      </c>
    </row>
    <row r="61" spans="1:17">
      <c r="A61" s="5" t="s">
        <v>913</v>
      </c>
      <c r="B61" s="8" t="s">
        <v>578</v>
      </c>
      <c r="C61" s="8" t="s">
        <v>579</v>
      </c>
      <c r="D61" s="6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6">
        <v>1</v>
      </c>
      <c r="O61" s="6">
        <v>1</v>
      </c>
      <c r="P61" s="6">
        <v>0</v>
      </c>
      <c r="Q61" s="6">
        <v>0</v>
      </c>
    </row>
    <row r="62" spans="1:17">
      <c r="A62" s="5" t="s">
        <v>914</v>
      </c>
      <c r="B62" s="8" t="s">
        <v>580</v>
      </c>
      <c r="C62" s="8" t="s">
        <v>581</v>
      </c>
      <c r="D62" s="6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6">
        <v>1</v>
      </c>
      <c r="O62" s="6">
        <v>3</v>
      </c>
      <c r="P62" s="6">
        <v>0</v>
      </c>
      <c r="Q62" s="6">
        <v>0</v>
      </c>
    </row>
    <row r="63" spans="1:17">
      <c r="A63" s="5" t="s">
        <v>915</v>
      </c>
      <c r="B63" s="8" t="s">
        <v>582</v>
      </c>
      <c r="C63" s="8" t="s">
        <v>583</v>
      </c>
      <c r="D63" s="6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6">
        <v>2</v>
      </c>
      <c r="O63" s="6">
        <v>1</v>
      </c>
      <c r="P63" s="6">
        <v>0</v>
      </c>
      <c r="Q63" s="6">
        <v>0</v>
      </c>
    </row>
    <row r="64" spans="1:17">
      <c r="A64" s="5" t="s">
        <v>916</v>
      </c>
      <c r="B64" s="8" t="s">
        <v>584</v>
      </c>
      <c r="C64" s="8" t="s">
        <v>585</v>
      </c>
      <c r="D64" s="6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6">
        <v>0</v>
      </c>
      <c r="O64" s="6">
        <v>6</v>
      </c>
      <c r="P64" s="6">
        <v>1</v>
      </c>
      <c r="Q64" s="6">
        <v>0</v>
      </c>
    </row>
    <row r="65" spans="1:17">
      <c r="A65" s="5" t="s">
        <v>917</v>
      </c>
      <c r="B65" s="8" t="s">
        <v>586</v>
      </c>
      <c r="C65" s="8" t="s">
        <v>587</v>
      </c>
      <c r="D65" s="6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6">
        <v>1</v>
      </c>
      <c r="O65" s="6">
        <v>1</v>
      </c>
      <c r="P65" s="6">
        <v>4</v>
      </c>
      <c r="Q65" s="6">
        <v>1</v>
      </c>
    </row>
    <row r="66" spans="1:17">
      <c r="A66" s="5" t="s">
        <v>918</v>
      </c>
      <c r="B66" s="8" t="s">
        <v>588</v>
      </c>
      <c r="C66" s="8" t="s">
        <v>589</v>
      </c>
      <c r="D66" s="6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6">
        <v>3</v>
      </c>
      <c r="O66" s="6">
        <v>0</v>
      </c>
      <c r="P66" s="6">
        <v>0</v>
      </c>
      <c r="Q66" s="6">
        <v>0</v>
      </c>
    </row>
    <row r="67" spans="1:17">
      <c r="A67" s="5" t="s">
        <v>919</v>
      </c>
      <c r="B67" s="8" t="s">
        <v>590</v>
      </c>
      <c r="C67" s="8" t="s">
        <v>591</v>
      </c>
      <c r="D67" s="6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6">
        <v>3</v>
      </c>
      <c r="O67" s="6">
        <v>4</v>
      </c>
      <c r="P67" s="6">
        <v>0</v>
      </c>
      <c r="Q67" s="6">
        <v>0</v>
      </c>
    </row>
    <row r="68" spans="1:17">
      <c r="A68" s="5" t="s">
        <v>920</v>
      </c>
      <c r="B68" s="8" t="s">
        <v>592</v>
      </c>
      <c r="C68" s="8" t="s">
        <v>593</v>
      </c>
      <c r="D68" s="6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6">
        <v>3</v>
      </c>
      <c r="O68" s="6">
        <v>0</v>
      </c>
      <c r="P68" s="6">
        <v>5</v>
      </c>
      <c r="Q68" s="6">
        <v>1</v>
      </c>
    </row>
    <row r="69" spans="1:17">
      <c r="A69" s="5" t="s">
        <v>921</v>
      </c>
      <c r="B69" s="8" t="s">
        <v>594</v>
      </c>
      <c r="C69" s="8" t="s">
        <v>595</v>
      </c>
      <c r="D69" s="6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6">
        <v>6</v>
      </c>
      <c r="O69" s="6">
        <v>8</v>
      </c>
      <c r="P69" s="6">
        <v>6</v>
      </c>
      <c r="Q69" s="6">
        <v>0</v>
      </c>
    </row>
    <row r="70" spans="1:17">
      <c r="A70" s="5" t="s">
        <v>922</v>
      </c>
      <c r="B70" s="8" t="s">
        <v>596</v>
      </c>
      <c r="C70" s="8" t="s">
        <v>597</v>
      </c>
      <c r="D70" s="6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6">
        <v>1</v>
      </c>
      <c r="O70" s="6">
        <v>2</v>
      </c>
      <c r="P70" s="6">
        <v>2</v>
      </c>
      <c r="Q70" s="6">
        <v>1</v>
      </c>
    </row>
    <row r="71" spans="1:17">
      <c r="A71" s="5" t="s">
        <v>923</v>
      </c>
      <c r="B71" s="8" t="s">
        <v>598</v>
      </c>
      <c r="C71" s="8" t="s">
        <v>599</v>
      </c>
      <c r="D71" s="6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6">
        <v>3</v>
      </c>
      <c r="O71" s="6">
        <v>1</v>
      </c>
      <c r="P71" s="6">
        <v>2</v>
      </c>
      <c r="Q71" s="6">
        <v>2</v>
      </c>
    </row>
    <row r="72" spans="1:17">
      <c r="A72" s="5" t="s">
        <v>924</v>
      </c>
      <c r="B72" s="8" t="s">
        <v>600</v>
      </c>
      <c r="C72" s="8" t="s">
        <v>601</v>
      </c>
      <c r="D72" s="6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6">
        <v>1</v>
      </c>
      <c r="O72" s="6">
        <v>0</v>
      </c>
      <c r="P72" s="6">
        <v>1</v>
      </c>
      <c r="Q72" s="6">
        <v>0</v>
      </c>
    </row>
    <row r="73" spans="1:17">
      <c r="A73" s="5" t="s">
        <v>925</v>
      </c>
      <c r="B73" s="8" t="s">
        <v>602</v>
      </c>
      <c r="C73" s="8" t="s">
        <v>603</v>
      </c>
      <c r="D73" s="6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6">
        <v>1</v>
      </c>
      <c r="O73" s="6">
        <v>8</v>
      </c>
      <c r="P73" s="6">
        <v>4</v>
      </c>
      <c r="Q73" s="6">
        <v>0</v>
      </c>
    </row>
    <row r="74" spans="1:17">
      <c r="A74" s="5" t="s">
        <v>926</v>
      </c>
      <c r="B74" s="8" t="s">
        <v>604</v>
      </c>
      <c r="C74" s="8" t="s">
        <v>605</v>
      </c>
      <c r="D74" s="6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6">
        <v>0</v>
      </c>
      <c r="O74" s="6">
        <v>1</v>
      </c>
      <c r="P74" s="6">
        <v>0</v>
      </c>
      <c r="Q74" s="6">
        <v>0</v>
      </c>
    </row>
    <row r="75" spans="1:17">
      <c r="A75" s="5" t="s">
        <v>927</v>
      </c>
      <c r="B75" s="8" t="s">
        <v>606</v>
      </c>
      <c r="C75" s="8" t="s">
        <v>607</v>
      </c>
      <c r="D75" s="6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6">
        <v>0</v>
      </c>
      <c r="O75" s="6">
        <v>3</v>
      </c>
      <c r="P75" s="6">
        <v>0</v>
      </c>
      <c r="Q75" s="6">
        <v>1</v>
      </c>
    </row>
    <row r="76" spans="1:17">
      <c r="A76" s="5" t="s">
        <v>928</v>
      </c>
      <c r="B76" s="8" t="s">
        <v>608</v>
      </c>
      <c r="C76" s="8" t="s">
        <v>609</v>
      </c>
      <c r="D76" s="6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6">
        <v>2</v>
      </c>
      <c r="O76" s="6">
        <v>1</v>
      </c>
      <c r="P76" s="6">
        <v>1</v>
      </c>
      <c r="Q76" s="6">
        <v>0</v>
      </c>
    </row>
    <row r="77" spans="1:17">
      <c r="A77" s="5" t="s">
        <v>929</v>
      </c>
      <c r="B77" s="8" t="s">
        <v>610</v>
      </c>
      <c r="C77" s="8" t="s">
        <v>611</v>
      </c>
      <c r="D77" s="6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6">
        <v>3</v>
      </c>
      <c r="O77" s="6">
        <v>12</v>
      </c>
      <c r="P77" s="6">
        <v>2</v>
      </c>
      <c r="Q77" s="6">
        <v>0</v>
      </c>
    </row>
    <row r="78" spans="1:17">
      <c r="A78" s="5" t="s">
        <v>930</v>
      </c>
      <c r="B78" s="8" t="s">
        <v>612</v>
      </c>
      <c r="C78" s="8" t="s">
        <v>613</v>
      </c>
      <c r="D78" s="6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6">
        <v>0</v>
      </c>
      <c r="O78" s="6">
        <v>3</v>
      </c>
      <c r="P78" s="6">
        <v>0</v>
      </c>
      <c r="Q78" s="6">
        <v>0</v>
      </c>
    </row>
    <row r="79" spans="1:17">
      <c r="A79" s="5" t="s">
        <v>931</v>
      </c>
      <c r="B79" s="8" t="s">
        <v>614</v>
      </c>
      <c r="C79" s="8" t="s">
        <v>615</v>
      </c>
      <c r="D79" s="6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6">
        <v>1</v>
      </c>
      <c r="O79" s="6">
        <v>1</v>
      </c>
      <c r="P79" s="6">
        <v>0</v>
      </c>
      <c r="Q79" s="6">
        <v>1</v>
      </c>
    </row>
    <row r="80" spans="1:17">
      <c r="A80" s="5" t="s">
        <v>932</v>
      </c>
      <c r="B80" s="8" t="s">
        <v>616</v>
      </c>
      <c r="C80" s="8" t="s">
        <v>617</v>
      </c>
      <c r="D80" s="6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6">
        <v>1</v>
      </c>
      <c r="O80" s="6">
        <v>12</v>
      </c>
      <c r="P80" s="6">
        <v>0</v>
      </c>
      <c r="Q80" s="6">
        <v>0</v>
      </c>
    </row>
    <row r="81" spans="1:17">
      <c r="A81" s="5" t="s">
        <v>933</v>
      </c>
      <c r="B81" s="8" t="s">
        <v>618</v>
      </c>
      <c r="C81" s="8" t="s">
        <v>619</v>
      </c>
      <c r="D81" s="6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6">
        <v>2</v>
      </c>
      <c r="O81" s="6">
        <v>5</v>
      </c>
      <c r="P81" s="6">
        <v>0</v>
      </c>
      <c r="Q81" s="6">
        <v>1</v>
      </c>
    </row>
    <row r="82" spans="1:17">
      <c r="A82" s="5" t="s">
        <v>934</v>
      </c>
      <c r="B82" s="8" t="s">
        <v>620</v>
      </c>
      <c r="C82" s="8" t="s">
        <v>621</v>
      </c>
      <c r="D82" s="6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6">
        <v>3</v>
      </c>
      <c r="O82" s="6">
        <v>5</v>
      </c>
      <c r="P82" s="6">
        <v>1</v>
      </c>
      <c r="Q82" s="6">
        <v>0</v>
      </c>
    </row>
    <row r="83" spans="1:17">
      <c r="A83" s="5" t="s">
        <v>935</v>
      </c>
      <c r="B83" s="8" t="s">
        <v>622</v>
      </c>
      <c r="C83" s="8" t="s">
        <v>623</v>
      </c>
      <c r="D83" s="6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6">
        <v>0</v>
      </c>
      <c r="O83" s="6">
        <v>8</v>
      </c>
      <c r="P83" s="6">
        <v>1</v>
      </c>
      <c r="Q83" s="6">
        <v>0</v>
      </c>
    </row>
    <row r="84" spans="1:17">
      <c r="A84" s="5" t="s">
        <v>936</v>
      </c>
      <c r="B84" s="8" t="s">
        <v>624</v>
      </c>
      <c r="C84" s="8" t="s">
        <v>625</v>
      </c>
      <c r="D84" s="6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6">
        <v>4</v>
      </c>
      <c r="O84" s="6">
        <v>6</v>
      </c>
      <c r="P84" s="6">
        <v>0</v>
      </c>
      <c r="Q84" s="6">
        <v>0</v>
      </c>
    </row>
    <row r="85" spans="1:17">
      <c r="A85" s="5" t="s">
        <v>937</v>
      </c>
      <c r="B85" s="8" t="s">
        <v>626</v>
      </c>
      <c r="C85" s="8" t="s">
        <v>627</v>
      </c>
      <c r="D85" s="6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6">
        <v>1</v>
      </c>
      <c r="O85" s="6">
        <v>7</v>
      </c>
      <c r="P85" s="6">
        <v>0</v>
      </c>
      <c r="Q85" s="6">
        <v>0</v>
      </c>
    </row>
    <row r="86" spans="1:17">
      <c r="A86" s="5" t="s">
        <v>938</v>
      </c>
      <c r="B86" s="8" t="s">
        <v>628</v>
      </c>
      <c r="C86" s="8" t="s">
        <v>629</v>
      </c>
      <c r="D86" s="6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6">
        <v>2</v>
      </c>
      <c r="O86" s="6">
        <v>1</v>
      </c>
      <c r="P86" s="6">
        <v>0</v>
      </c>
      <c r="Q86" s="6">
        <v>0</v>
      </c>
    </row>
    <row r="87" spans="1:17">
      <c r="A87" s="5" t="s">
        <v>939</v>
      </c>
      <c r="B87" s="8" t="s">
        <v>630</v>
      </c>
      <c r="C87" s="8" t="s">
        <v>631</v>
      </c>
      <c r="D87" s="6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6">
        <v>2</v>
      </c>
      <c r="O87" s="6">
        <v>4</v>
      </c>
      <c r="P87" s="6">
        <v>1</v>
      </c>
      <c r="Q87" s="6">
        <v>0</v>
      </c>
    </row>
    <row r="88" spans="1:17">
      <c r="A88" s="5" t="s">
        <v>940</v>
      </c>
      <c r="B88" s="8" t="s">
        <v>632</v>
      </c>
      <c r="C88" s="8" t="s">
        <v>633</v>
      </c>
      <c r="D88" s="6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6">
        <v>1</v>
      </c>
      <c r="O88" s="6">
        <v>1</v>
      </c>
      <c r="P88" s="6">
        <v>0</v>
      </c>
      <c r="Q88" s="6">
        <v>0</v>
      </c>
    </row>
    <row r="89" spans="1:17">
      <c r="A89" s="5" t="s">
        <v>941</v>
      </c>
      <c r="B89" s="8" t="s">
        <v>634</v>
      </c>
      <c r="C89" s="8" t="s">
        <v>635</v>
      </c>
      <c r="D89" s="6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6">
        <v>1</v>
      </c>
      <c r="O89" s="6">
        <v>4</v>
      </c>
      <c r="P89" s="6">
        <v>0</v>
      </c>
      <c r="Q89" s="6">
        <v>0</v>
      </c>
    </row>
    <row r="90" spans="1:17">
      <c r="A90" s="5" t="s">
        <v>942</v>
      </c>
      <c r="B90" s="8" t="s">
        <v>636</v>
      </c>
      <c r="C90" s="8" t="s">
        <v>637</v>
      </c>
      <c r="D90" s="6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6">
        <v>1</v>
      </c>
      <c r="O90" s="6">
        <v>0</v>
      </c>
      <c r="P90" s="6">
        <v>0</v>
      </c>
      <c r="Q90" s="6">
        <v>0</v>
      </c>
    </row>
    <row r="91" spans="1:17">
      <c r="A91" s="5" t="s">
        <v>943</v>
      </c>
      <c r="B91" s="8" t="s">
        <v>638</v>
      </c>
      <c r="C91" s="8" t="s">
        <v>639</v>
      </c>
      <c r="D91" s="6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6">
        <v>1</v>
      </c>
      <c r="O91" s="6">
        <v>5</v>
      </c>
      <c r="P91" s="6">
        <v>1</v>
      </c>
      <c r="Q91" s="6">
        <v>0</v>
      </c>
    </row>
    <row r="92" spans="1:17">
      <c r="A92" s="5" t="s">
        <v>944</v>
      </c>
      <c r="B92" s="8" t="s">
        <v>640</v>
      </c>
      <c r="C92" s="8" t="s">
        <v>641</v>
      </c>
      <c r="D92" s="6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6">
        <v>3</v>
      </c>
      <c r="O92" s="6">
        <v>8</v>
      </c>
      <c r="P92" s="6">
        <v>0</v>
      </c>
      <c r="Q92" s="6">
        <v>1</v>
      </c>
    </row>
    <row r="93" spans="1:17">
      <c r="A93" s="5" t="s">
        <v>945</v>
      </c>
      <c r="B93" s="8" t="s">
        <v>642</v>
      </c>
      <c r="C93" s="8" t="s">
        <v>643</v>
      </c>
      <c r="D93" s="6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6">
        <v>1</v>
      </c>
      <c r="O93" s="6">
        <v>4</v>
      </c>
      <c r="P93" s="6">
        <v>0</v>
      </c>
      <c r="Q93" s="6">
        <v>0</v>
      </c>
    </row>
    <row r="94" spans="1:17">
      <c r="A94" s="5" t="s">
        <v>946</v>
      </c>
      <c r="B94" s="8" t="s">
        <v>644</v>
      </c>
      <c r="C94" s="8" t="s">
        <v>645</v>
      </c>
      <c r="D94" s="6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6">
        <v>2</v>
      </c>
      <c r="O94" s="6">
        <v>3</v>
      </c>
      <c r="P94" s="6">
        <v>0</v>
      </c>
      <c r="Q94" s="6">
        <v>0</v>
      </c>
    </row>
    <row r="95" spans="1:17">
      <c r="A95" s="5" t="s">
        <v>947</v>
      </c>
      <c r="B95" s="8" t="s">
        <v>646</v>
      </c>
      <c r="C95" s="8" t="s">
        <v>647</v>
      </c>
      <c r="D95" s="6">
        <v>52</v>
      </c>
      <c r="E95" s="8"/>
      <c r="F95" s="8"/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8" t="s">
        <v>647</v>
      </c>
      <c r="O95" s="8" t="s">
        <v>647</v>
      </c>
      <c r="P95" s="8" t="s">
        <v>647</v>
      </c>
      <c r="Q95" s="8" t="s">
        <v>647</v>
      </c>
    </row>
    <row r="96" spans="1:17">
      <c r="A96" s="5" t="s">
        <v>948</v>
      </c>
      <c r="B96" s="8" t="s">
        <v>648</v>
      </c>
      <c r="C96" s="8" t="s">
        <v>649</v>
      </c>
      <c r="D96" s="6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6">
        <v>1</v>
      </c>
      <c r="O96" s="6">
        <v>0</v>
      </c>
      <c r="P96" s="6">
        <v>0</v>
      </c>
      <c r="Q96" s="6">
        <v>0</v>
      </c>
    </row>
    <row r="97" spans="1:17">
      <c r="A97" s="5" t="s">
        <v>949</v>
      </c>
      <c r="B97" s="8" t="s">
        <v>650</v>
      </c>
      <c r="C97" s="8" t="s">
        <v>651</v>
      </c>
      <c r="D97" s="6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6">
        <v>4</v>
      </c>
      <c r="O97" s="6">
        <v>4</v>
      </c>
      <c r="P97" s="6">
        <v>0</v>
      </c>
      <c r="Q97" s="6">
        <v>0</v>
      </c>
    </row>
    <row r="98" spans="1:17">
      <c r="A98" s="5" t="s">
        <v>950</v>
      </c>
      <c r="B98" s="8" t="s">
        <v>652</v>
      </c>
      <c r="C98" s="8" t="s">
        <v>653</v>
      </c>
      <c r="D98" s="6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6">
        <v>0</v>
      </c>
      <c r="O98" s="6">
        <v>0</v>
      </c>
      <c r="P98" s="6">
        <v>0</v>
      </c>
      <c r="Q98" s="6">
        <v>0</v>
      </c>
    </row>
    <row r="99" spans="1:17">
      <c r="A99" s="5" t="s">
        <v>951</v>
      </c>
      <c r="B99" s="8" t="s">
        <v>654</v>
      </c>
      <c r="C99" s="8" t="s">
        <v>655</v>
      </c>
      <c r="D99" s="6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6">
        <v>0</v>
      </c>
      <c r="O99" s="6">
        <v>5</v>
      </c>
      <c r="P99" s="6">
        <v>1</v>
      </c>
      <c r="Q99" s="6">
        <v>1</v>
      </c>
    </row>
    <row r="100" spans="1:17">
      <c r="A100" s="5" t="s">
        <v>952</v>
      </c>
      <c r="B100" s="8" t="s">
        <v>571</v>
      </c>
      <c r="C100" s="8" t="s">
        <v>656</v>
      </c>
      <c r="D100" s="6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6">
        <v>0</v>
      </c>
      <c r="O100" s="6">
        <v>6</v>
      </c>
      <c r="P100" s="6">
        <v>0</v>
      </c>
      <c r="Q100" s="6">
        <v>2</v>
      </c>
    </row>
    <row r="101" spans="1:17">
      <c r="A101" s="5" t="s">
        <v>953</v>
      </c>
      <c r="B101" s="8" t="s">
        <v>657</v>
      </c>
      <c r="C101" s="8" t="s">
        <v>658</v>
      </c>
      <c r="D101" s="6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6">
        <v>3</v>
      </c>
      <c r="O101" s="6">
        <v>8</v>
      </c>
      <c r="P101" s="6">
        <v>0</v>
      </c>
      <c r="Q101" s="6">
        <v>2</v>
      </c>
    </row>
    <row r="102" spans="1:17">
      <c r="A102" s="5" t="s">
        <v>954</v>
      </c>
      <c r="B102" s="8" t="s">
        <v>659</v>
      </c>
      <c r="C102" s="8" t="s">
        <v>660</v>
      </c>
      <c r="D102" s="6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6">
        <v>0</v>
      </c>
      <c r="O102" s="6">
        <v>6</v>
      </c>
      <c r="P102" s="6">
        <v>2</v>
      </c>
      <c r="Q102" s="6">
        <v>0</v>
      </c>
    </row>
    <row r="103" spans="1:17">
      <c r="A103" s="5" t="s">
        <v>955</v>
      </c>
      <c r="B103" s="8" t="s">
        <v>661</v>
      </c>
      <c r="C103" s="8" t="s">
        <v>662</v>
      </c>
      <c r="D103" s="6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6">
        <v>2</v>
      </c>
      <c r="O103" s="6">
        <v>1</v>
      </c>
      <c r="P103" s="6">
        <v>0</v>
      </c>
      <c r="Q103" s="6">
        <v>0</v>
      </c>
    </row>
    <row r="104" spans="1:17">
      <c r="A104" s="5" t="s">
        <v>956</v>
      </c>
      <c r="B104" s="8" t="s">
        <v>663</v>
      </c>
      <c r="C104" s="8" t="s">
        <v>664</v>
      </c>
      <c r="D104" s="6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6">
        <v>5</v>
      </c>
      <c r="O104" s="6">
        <v>0</v>
      </c>
      <c r="P104" s="6">
        <v>0</v>
      </c>
      <c r="Q104" s="6">
        <v>0</v>
      </c>
    </row>
    <row r="105" spans="1:17">
      <c r="A105" s="5" t="s">
        <v>957</v>
      </c>
      <c r="B105" s="8" t="s">
        <v>665</v>
      </c>
      <c r="C105" s="8" t="s">
        <v>666</v>
      </c>
      <c r="D105" s="6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6">
        <v>1</v>
      </c>
      <c r="O105" s="6">
        <v>4</v>
      </c>
      <c r="P105" s="6">
        <v>0</v>
      </c>
      <c r="Q105" s="6">
        <v>1</v>
      </c>
    </row>
    <row r="106" spans="1:17">
      <c r="A106" s="5" t="s">
        <v>958</v>
      </c>
      <c r="B106" s="8" t="s">
        <v>667</v>
      </c>
      <c r="C106" s="8" t="s">
        <v>668</v>
      </c>
      <c r="D106" s="6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6">
        <v>3</v>
      </c>
      <c r="O106" s="6">
        <v>5</v>
      </c>
      <c r="P106" s="6">
        <v>0</v>
      </c>
      <c r="Q106" s="6">
        <v>1</v>
      </c>
    </row>
    <row r="107" spans="1:17">
      <c r="A107" s="5" t="s">
        <v>959</v>
      </c>
      <c r="B107" s="8" t="s">
        <v>669</v>
      </c>
      <c r="C107" s="8"/>
      <c r="D107" s="6">
        <v>64</v>
      </c>
      <c r="E107" s="8"/>
      <c r="F107" s="8"/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8" t="s">
        <v>647</v>
      </c>
      <c r="O107" s="8" t="s">
        <v>647</v>
      </c>
      <c r="P107" s="8" t="s">
        <v>647</v>
      </c>
      <c r="Q107" s="8" t="s">
        <v>647</v>
      </c>
    </row>
    <row r="108" spans="1:17">
      <c r="A108" s="5" t="s">
        <v>960</v>
      </c>
      <c r="B108" s="8" t="s">
        <v>463</v>
      </c>
      <c r="C108" s="8" t="s">
        <v>670</v>
      </c>
      <c r="D108" s="6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6">
        <v>3</v>
      </c>
      <c r="O108" s="6">
        <v>3</v>
      </c>
      <c r="P108" s="6">
        <v>1</v>
      </c>
      <c r="Q108" s="6">
        <v>0</v>
      </c>
    </row>
    <row r="109" spans="1:17">
      <c r="A109" s="5" t="s">
        <v>961</v>
      </c>
      <c r="B109" s="8" t="s">
        <v>671</v>
      </c>
      <c r="C109" s="8" t="s">
        <v>672</v>
      </c>
      <c r="D109" s="6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6">
        <v>4</v>
      </c>
      <c r="O109" s="6">
        <v>4</v>
      </c>
      <c r="P109" s="6">
        <v>0</v>
      </c>
      <c r="Q109" s="6">
        <v>1</v>
      </c>
    </row>
    <row r="110" spans="1:17">
      <c r="A110" s="5" t="s">
        <v>962</v>
      </c>
      <c r="B110" s="8" t="s">
        <v>673</v>
      </c>
      <c r="C110" s="8" t="s">
        <v>674</v>
      </c>
      <c r="D110" s="6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6">
        <v>1</v>
      </c>
      <c r="O110" s="6">
        <v>7</v>
      </c>
      <c r="P110" s="6">
        <v>0</v>
      </c>
      <c r="Q110" s="6">
        <v>0</v>
      </c>
    </row>
    <row r="111" spans="1:17">
      <c r="A111" s="5" t="s">
        <v>963</v>
      </c>
      <c r="B111" s="8" t="s">
        <v>675</v>
      </c>
      <c r="C111" s="8" t="s">
        <v>676</v>
      </c>
      <c r="D111" s="6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6">
        <v>3</v>
      </c>
      <c r="O111" s="6">
        <v>6</v>
      </c>
      <c r="P111" s="6">
        <v>0</v>
      </c>
      <c r="Q111" s="6">
        <v>0</v>
      </c>
    </row>
    <row r="112" spans="1:17">
      <c r="A112" s="5" t="s">
        <v>964</v>
      </c>
      <c r="B112" s="8" t="s">
        <v>677</v>
      </c>
      <c r="C112" s="8" t="s">
        <v>678</v>
      </c>
      <c r="D112" s="6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6">
        <v>2</v>
      </c>
      <c r="O112" s="6">
        <v>6</v>
      </c>
      <c r="P112" s="6">
        <v>1</v>
      </c>
      <c r="Q112" s="6">
        <v>2</v>
      </c>
    </row>
    <row r="113" spans="1:17">
      <c r="A113" s="5" t="s">
        <v>965</v>
      </c>
      <c r="B113" s="8" t="s">
        <v>679</v>
      </c>
      <c r="C113" s="8" t="s">
        <v>680</v>
      </c>
      <c r="D113" s="6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6">
        <v>3</v>
      </c>
      <c r="O113" s="6">
        <v>7</v>
      </c>
      <c r="P113" s="6">
        <v>1</v>
      </c>
      <c r="Q113" s="6">
        <v>0</v>
      </c>
    </row>
    <row r="114" spans="1:17">
      <c r="A114" s="5" t="s">
        <v>966</v>
      </c>
      <c r="B114" s="8" t="s">
        <v>681</v>
      </c>
      <c r="C114" s="8" t="s">
        <v>682</v>
      </c>
      <c r="D114" s="6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6">
        <v>2</v>
      </c>
      <c r="O114" s="6">
        <v>6</v>
      </c>
      <c r="P114" s="6">
        <v>0</v>
      </c>
      <c r="Q114" s="6">
        <v>0</v>
      </c>
    </row>
    <row r="115" spans="1:17">
      <c r="A115" s="5" t="s">
        <v>967</v>
      </c>
      <c r="B115" s="8" t="s">
        <v>683</v>
      </c>
      <c r="C115" s="8" t="s">
        <v>684</v>
      </c>
      <c r="D115" s="6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6">
        <v>3</v>
      </c>
      <c r="O115" s="6">
        <v>9</v>
      </c>
      <c r="P115" s="6">
        <v>0</v>
      </c>
      <c r="Q115" s="6">
        <v>4</v>
      </c>
    </row>
    <row r="116" spans="1:17">
      <c r="A116" s="5" t="s">
        <v>968</v>
      </c>
      <c r="B116" s="8" t="s">
        <v>584</v>
      </c>
      <c r="C116" s="8" t="s">
        <v>685</v>
      </c>
      <c r="D116" s="6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6">
        <v>2</v>
      </c>
      <c r="O116" s="6">
        <v>4</v>
      </c>
      <c r="P116" s="6">
        <v>0</v>
      </c>
      <c r="Q116" s="6">
        <v>0</v>
      </c>
    </row>
    <row r="117" spans="1:17">
      <c r="A117" s="5" t="s">
        <v>969</v>
      </c>
      <c r="B117" s="8" t="s">
        <v>686</v>
      </c>
      <c r="C117" s="8" t="s">
        <v>687</v>
      </c>
      <c r="D117" s="6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6">
        <v>4</v>
      </c>
      <c r="O117" s="6">
        <v>4</v>
      </c>
      <c r="P117" s="6">
        <v>1</v>
      </c>
      <c r="Q117" s="6">
        <v>0</v>
      </c>
    </row>
    <row r="118" spans="1:17">
      <c r="A118" s="5" t="s">
        <v>970</v>
      </c>
      <c r="B118" s="8" t="s">
        <v>688</v>
      </c>
      <c r="C118" s="8" t="s">
        <v>689</v>
      </c>
      <c r="D118" s="6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6">
        <v>2</v>
      </c>
      <c r="O118" s="6">
        <v>6</v>
      </c>
      <c r="P118" s="6">
        <v>0</v>
      </c>
      <c r="Q118" s="6">
        <v>2</v>
      </c>
    </row>
    <row r="119" spans="1:17">
      <c r="A119" s="5" t="s">
        <v>971</v>
      </c>
      <c r="B119" s="8" t="s">
        <v>690</v>
      </c>
      <c r="C119" s="8" t="s">
        <v>691</v>
      </c>
      <c r="D119" s="6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6">
        <v>1</v>
      </c>
      <c r="O119" s="6">
        <v>0</v>
      </c>
      <c r="P119" s="6">
        <v>0</v>
      </c>
      <c r="Q119" s="6">
        <v>0</v>
      </c>
    </row>
    <row r="120" spans="1:17">
      <c r="A120" s="5" t="s">
        <v>972</v>
      </c>
      <c r="B120" s="8" t="s">
        <v>692</v>
      </c>
      <c r="C120" s="8" t="s">
        <v>693</v>
      </c>
      <c r="D120" s="6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6">
        <v>1</v>
      </c>
      <c r="O120" s="6">
        <v>7</v>
      </c>
      <c r="P120" s="6">
        <v>3</v>
      </c>
      <c r="Q120" s="6">
        <v>2</v>
      </c>
    </row>
    <row r="121" spans="1:17">
      <c r="A121" s="5" t="s">
        <v>973</v>
      </c>
      <c r="B121" s="8" t="s">
        <v>694</v>
      </c>
      <c r="C121" s="8" t="s">
        <v>695</v>
      </c>
      <c r="D121" s="6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6">
        <v>0</v>
      </c>
      <c r="O121" s="6">
        <v>2</v>
      </c>
      <c r="P121" s="6">
        <v>0</v>
      </c>
      <c r="Q121" s="6">
        <v>0</v>
      </c>
    </row>
    <row r="122" spans="1:17">
      <c r="A122" s="5" t="s">
        <v>974</v>
      </c>
      <c r="B122" s="8" t="s">
        <v>696</v>
      </c>
      <c r="C122" s="8" t="s">
        <v>697</v>
      </c>
      <c r="D122" s="6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6">
        <v>2</v>
      </c>
      <c r="O122" s="6">
        <v>3</v>
      </c>
      <c r="P122" s="6">
        <v>0</v>
      </c>
      <c r="Q122" s="6">
        <v>0</v>
      </c>
    </row>
    <row r="123" spans="1:17">
      <c r="A123" s="5" t="s">
        <v>975</v>
      </c>
      <c r="B123" s="8" t="s">
        <v>698</v>
      </c>
      <c r="C123" s="8" t="s">
        <v>699</v>
      </c>
      <c r="D123" s="6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6">
        <v>1</v>
      </c>
      <c r="O123" s="6">
        <v>1</v>
      </c>
      <c r="P123" s="6">
        <v>0</v>
      </c>
      <c r="Q123" s="6">
        <v>0</v>
      </c>
    </row>
    <row r="124" spans="1:17">
      <c r="A124" s="5" t="s">
        <v>976</v>
      </c>
      <c r="B124" s="8" t="s">
        <v>700</v>
      </c>
      <c r="C124" s="8" t="s">
        <v>701</v>
      </c>
      <c r="D124" s="6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6">
        <v>1</v>
      </c>
      <c r="O124" s="6">
        <v>10</v>
      </c>
      <c r="P124" s="6">
        <v>0</v>
      </c>
      <c r="Q124" s="6">
        <v>0</v>
      </c>
    </row>
    <row r="125" spans="1:17">
      <c r="A125" s="5" t="s">
        <v>977</v>
      </c>
      <c r="B125" s="8" t="s">
        <v>702</v>
      </c>
      <c r="C125" s="8" t="s">
        <v>703</v>
      </c>
      <c r="D125" s="6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6">
        <v>0</v>
      </c>
      <c r="O125" s="6">
        <v>13</v>
      </c>
      <c r="P125" s="6">
        <v>0</v>
      </c>
      <c r="Q125" s="6">
        <v>2</v>
      </c>
    </row>
    <row r="126" spans="1:17">
      <c r="A126" s="5" t="s">
        <v>978</v>
      </c>
      <c r="B126" s="8" t="s">
        <v>704</v>
      </c>
      <c r="C126" s="8" t="s">
        <v>705</v>
      </c>
      <c r="D126" s="6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6">
        <v>1</v>
      </c>
      <c r="O126" s="6">
        <v>2</v>
      </c>
      <c r="P126" s="6">
        <v>1</v>
      </c>
      <c r="Q126" s="6">
        <v>0</v>
      </c>
    </row>
    <row r="127" spans="1:17">
      <c r="A127" s="5" t="s">
        <v>979</v>
      </c>
      <c r="B127" s="8" t="s">
        <v>706</v>
      </c>
      <c r="C127" s="8" t="s">
        <v>707</v>
      </c>
      <c r="D127" s="6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6">
        <v>0</v>
      </c>
      <c r="O127" s="6">
        <v>5</v>
      </c>
      <c r="P127" s="6">
        <v>0</v>
      </c>
      <c r="Q127" s="6">
        <v>0</v>
      </c>
    </row>
    <row r="128" spans="1:17">
      <c r="A128" s="5" t="s">
        <v>980</v>
      </c>
      <c r="B128" s="8" t="s">
        <v>708</v>
      </c>
      <c r="C128" s="8" t="s">
        <v>709</v>
      </c>
      <c r="D128" s="6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6">
        <v>0</v>
      </c>
      <c r="O128" s="6">
        <v>6</v>
      </c>
      <c r="P128" s="6">
        <v>1</v>
      </c>
      <c r="Q128" s="6">
        <v>1</v>
      </c>
    </row>
    <row r="129" spans="1:17">
      <c r="A129" s="5" t="s">
        <v>981</v>
      </c>
      <c r="B129" s="8" t="s">
        <v>710</v>
      </c>
      <c r="C129" s="8" t="s">
        <v>711</v>
      </c>
      <c r="D129" s="6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6">
        <v>4</v>
      </c>
      <c r="O129" s="6">
        <v>4</v>
      </c>
      <c r="P129" s="6">
        <v>0</v>
      </c>
      <c r="Q129" s="6">
        <v>0</v>
      </c>
    </row>
    <row r="130" spans="1:17">
      <c r="A130" s="5" t="s">
        <v>982</v>
      </c>
      <c r="B130" s="8" t="s">
        <v>465</v>
      </c>
      <c r="C130" s="8" t="s">
        <v>712</v>
      </c>
      <c r="D130" s="6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6">
        <v>0</v>
      </c>
      <c r="O130" s="6">
        <v>0</v>
      </c>
      <c r="P130" s="6">
        <v>0</v>
      </c>
      <c r="Q130" s="6">
        <v>0</v>
      </c>
    </row>
    <row r="131" spans="1:17">
      <c r="A131" s="5" t="s">
        <v>983</v>
      </c>
      <c r="B131" s="8" t="s">
        <v>713</v>
      </c>
      <c r="C131" s="8" t="s">
        <v>714</v>
      </c>
      <c r="D131" s="6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6">
        <v>4</v>
      </c>
      <c r="O131" s="6">
        <v>4</v>
      </c>
      <c r="P131" s="6">
        <v>0</v>
      </c>
      <c r="Q131" s="6">
        <v>2</v>
      </c>
    </row>
    <row r="132" spans="1:17">
      <c r="A132" s="5" t="s">
        <v>984</v>
      </c>
      <c r="B132" s="8" t="s">
        <v>715</v>
      </c>
      <c r="C132" s="8" t="s">
        <v>716</v>
      </c>
      <c r="D132" s="6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6">
        <v>1</v>
      </c>
      <c r="O132" s="6">
        <v>6</v>
      </c>
      <c r="P132" s="6">
        <v>1</v>
      </c>
      <c r="Q132" s="6">
        <v>0</v>
      </c>
    </row>
    <row r="133" spans="1:17">
      <c r="A133" s="5" t="s">
        <v>985</v>
      </c>
      <c r="B133" s="8" t="s">
        <v>533</v>
      </c>
      <c r="C133" s="8" t="s">
        <v>717</v>
      </c>
      <c r="D133" s="6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6">
        <v>1</v>
      </c>
      <c r="O133" s="6">
        <v>4</v>
      </c>
      <c r="P133" s="6">
        <v>0</v>
      </c>
      <c r="Q133" s="6">
        <v>1</v>
      </c>
    </row>
    <row r="134" spans="1:17">
      <c r="A134" s="5" t="s">
        <v>986</v>
      </c>
      <c r="B134" s="8" t="s">
        <v>718</v>
      </c>
      <c r="C134" s="8" t="s">
        <v>719</v>
      </c>
      <c r="D134" s="6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6">
        <v>1</v>
      </c>
      <c r="O134" s="6">
        <v>0</v>
      </c>
      <c r="P134" s="6">
        <v>0</v>
      </c>
      <c r="Q134" s="6">
        <v>0</v>
      </c>
    </row>
    <row r="135" spans="1:17">
      <c r="A135" s="5" t="s">
        <v>987</v>
      </c>
      <c r="B135" s="8" t="s">
        <v>720</v>
      </c>
      <c r="C135" s="8" t="s">
        <v>721</v>
      </c>
      <c r="D135" s="6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6">
        <v>0</v>
      </c>
      <c r="O135" s="6">
        <v>5</v>
      </c>
      <c r="P135" s="6">
        <v>0</v>
      </c>
      <c r="Q135" s="6">
        <v>0</v>
      </c>
    </row>
    <row r="136" spans="1:17">
      <c r="A136" s="5" t="s">
        <v>988</v>
      </c>
      <c r="B136" s="8" t="s">
        <v>722</v>
      </c>
      <c r="C136" s="8" t="s">
        <v>723</v>
      </c>
      <c r="D136" s="6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6">
        <v>0</v>
      </c>
      <c r="O136" s="6">
        <v>2</v>
      </c>
      <c r="P136" s="6">
        <v>2</v>
      </c>
      <c r="Q136" s="6">
        <v>0</v>
      </c>
    </row>
    <row r="137" spans="1:17">
      <c r="A137" s="5" t="s">
        <v>989</v>
      </c>
      <c r="B137" s="8" t="s">
        <v>724</v>
      </c>
      <c r="C137" s="8" t="s">
        <v>725</v>
      </c>
      <c r="D137" s="6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6">
        <v>1</v>
      </c>
      <c r="O137" s="6">
        <v>5</v>
      </c>
      <c r="P137" s="6">
        <v>0</v>
      </c>
      <c r="Q137" s="6">
        <v>0</v>
      </c>
    </row>
    <row r="138" spans="1:17">
      <c r="A138" s="5" t="s">
        <v>990</v>
      </c>
      <c r="B138" s="8" t="s">
        <v>726</v>
      </c>
      <c r="C138" s="8" t="s">
        <v>727</v>
      </c>
      <c r="D138" s="6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6">
        <v>2</v>
      </c>
      <c r="O138" s="6">
        <v>5</v>
      </c>
      <c r="P138" s="6">
        <v>0</v>
      </c>
      <c r="Q138" s="6">
        <v>0</v>
      </c>
    </row>
    <row r="139" spans="1:17">
      <c r="A139" s="5" t="s">
        <v>991</v>
      </c>
      <c r="B139" s="8" t="s">
        <v>728</v>
      </c>
      <c r="C139" s="8" t="s">
        <v>729</v>
      </c>
      <c r="D139" s="6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6">
        <v>0</v>
      </c>
      <c r="O139" s="6">
        <v>5</v>
      </c>
      <c r="P139" s="6">
        <v>0</v>
      </c>
      <c r="Q139" s="6">
        <v>0</v>
      </c>
    </row>
    <row r="140" spans="1:17">
      <c r="A140" s="5" t="s">
        <v>992</v>
      </c>
      <c r="B140" s="8" t="s">
        <v>730</v>
      </c>
      <c r="C140" s="8" t="s">
        <v>731</v>
      </c>
      <c r="D140" s="6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6">
        <v>0</v>
      </c>
      <c r="O140" s="6">
        <v>6</v>
      </c>
      <c r="P140" s="6">
        <v>0</v>
      </c>
      <c r="Q140" s="6">
        <v>1</v>
      </c>
    </row>
    <row r="141" spans="1:17">
      <c r="A141" s="5" t="s">
        <v>993</v>
      </c>
      <c r="B141" s="8" t="s">
        <v>732</v>
      </c>
      <c r="C141" s="8" t="s">
        <v>733</v>
      </c>
      <c r="D141" s="6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6">
        <v>2</v>
      </c>
      <c r="O141" s="6">
        <v>3</v>
      </c>
      <c r="P141" s="6">
        <v>1</v>
      </c>
      <c r="Q141" s="6">
        <v>0</v>
      </c>
    </row>
    <row r="142" spans="1:17">
      <c r="A142" s="5" t="s">
        <v>994</v>
      </c>
      <c r="B142" s="8" t="s">
        <v>734</v>
      </c>
      <c r="C142" s="8" t="s">
        <v>735</v>
      </c>
      <c r="D142" s="6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6">
        <v>0</v>
      </c>
      <c r="O142" s="6">
        <v>2</v>
      </c>
      <c r="P142" s="6">
        <v>2</v>
      </c>
      <c r="Q142" s="6">
        <v>0</v>
      </c>
    </row>
    <row r="143" spans="1:17">
      <c r="A143" s="5" t="s">
        <v>995</v>
      </c>
      <c r="B143" s="8" t="s">
        <v>736</v>
      </c>
      <c r="C143" s="8" t="s">
        <v>737</v>
      </c>
      <c r="D143" s="6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6">
        <v>2</v>
      </c>
      <c r="O143" s="6">
        <v>10</v>
      </c>
      <c r="P143" s="6">
        <v>0</v>
      </c>
      <c r="Q143" s="6">
        <v>1</v>
      </c>
    </row>
    <row r="144" spans="1:17">
      <c r="A144" s="5" t="s">
        <v>996</v>
      </c>
      <c r="B144" s="8" t="s">
        <v>738</v>
      </c>
      <c r="C144" s="8" t="s">
        <v>739</v>
      </c>
      <c r="D144" s="6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6">
        <v>3</v>
      </c>
      <c r="O144" s="6">
        <v>1</v>
      </c>
      <c r="P144" s="6">
        <v>2</v>
      </c>
      <c r="Q144" s="6">
        <v>0</v>
      </c>
    </row>
    <row r="145" spans="1:17">
      <c r="A145" s="5" t="s">
        <v>997</v>
      </c>
      <c r="B145" s="8" t="s">
        <v>740</v>
      </c>
      <c r="C145" s="8" t="s">
        <v>741</v>
      </c>
      <c r="D145" s="6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6">
        <v>0</v>
      </c>
      <c r="O145" s="6">
        <v>1</v>
      </c>
      <c r="P145" s="6">
        <v>0</v>
      </c>
      <c r="Q145" s="6">
        <v>0</v>
      </c>
    </row>
    <row r="146" spans="1:17">
      <c r="A146" s="5" t="s">
        <v>998</v>
      </c>
      <c r="B146" s="8" t="s">
        <v>742</v>
      </c>
      <c r="C146" s="8" t="s">
        <v>743</v>
      </c>
      <c r="D146" s="6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6">
        <v>0</v>
      </c>
      <c r="O146" s="6">
        <v>7</v>
      </c>
      <c r="P146" s="6">
        <v>0</v>
      </c>
      <c r="Q146" s="6">
        <v>0</v>
      </c>
    </row>
    <row r="147" spans="1:17">
      <c r="A147" s="5" t="s">
        <v>999</v>
      </c>
      <c r="B147" s="8" t="s">
        <v>744</v>
      </c>
      <c r="C147" s="8" t="s">
        <v>745</v>
      </c>
      <c r="D147" s="6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6">
        <v>2</v>
      </c>
      <c r="O147" s="6">
        <v>5</v>
      </c>
      <c r="P147" s="6">
        <v>0</v>
      </c>
      <c r="Q147" s="6">
        <v>0</v>
      </c>
    </row>
    <row r="148" spans="1:17">
      <c r="A148" s="5" t="s">
        <v>1000</v>
      </c>
      <c r="B148" s="8" t="s">
        <v>746</v>
      </c>
      <c r="C148" s="8" t="s">
        <v>747</v>
      </c>
      <c r="D148" s="6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6">
        <v>0</v>
      </c>
      <c r="O148" s="6">
        <v>12</v>
      </c>
      <c r="P148" s="6">
        <v>1</v>
      </c>
      <c r="Q148" s="6">
        <v>0</v>
      </c>
    </row>
    <row r="149" spans="1:17">
      <c r="A149" s="5" t="s">
        <v>1001</v>
      </c>
      <c r="B149" s="8" t="s">
        <v>748</v>
      </c>
      <c r="C149" s="8" t="s">
        <v>749</v>
      </c>
      <c r="D149" s="6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6">
        <v>0</v>
      </c>
      <c r="O149" s="6">
        <v>1</v>
      </c>
      <c r="P149" s="6">
        <v>0</v>
      </c>
      <c r="Q149" s="6">
        <v>4</v>
      </c>
    </row>
    <row r="150" spans="1:17">
      <c r="A150" s="5" t="s">
        <v>1002</v>
      </c>
      <c r="B150" s="8" t="s">
        <v>750</v>
      </c>
      <c r="C150" s="8" t="s">
        <v>751</v>
      </c>
      <c r="D150" s="6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6">
        <v>4</v>
      </c>
      <c r="O150" s="6">
        <v>5</v>
      </c>
      <c r="P150" s="6">
        <v>0</v>
      </c>
      <c r="Q150" s="6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sqref="A1:J1048576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>
      <c r="A1" s="4" t="s">
        <v>0</v>
      </c>
      <c r="B1" s="4" t="s">
        <v>449</v>
      </c>
      <c r="C1" s="4" t="s">
        <v>752</v>
      </c>
      <c r="D1" s="4" t="s">
        <v>753</v>
      </c>
      <c r="E1" s="4" t="s">
        <v>754</v>
      </c>
      <c r="F1" s="4" t="s">
        <v>755</v>
      </c>
      <c r="G1" s="4" t="s">
        <v>756</v>
      </c>
      <c r="H1" s="4" t="s">
        <v>757</v>
      </c>
      <c r="I1" s="4" t="s">
        <v>758</v>
      </c>
      <c r="J1" s="4" t="s">
        <v>759</v>
      </c>
    </row>
    <row r="2" spans="1:10">
      <c r="A2" s="5" t="s">
        <v>854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8" t="s">
        <v>760</v>
      </c>
      <c r="I2" s="8" t="s">
        <v>761</v>
      </c>
      <c r="J2" s="8" t="s">
        <v>762</v>
      </c>
    </row>
    <row r="3" spans="1:10">
      <c r="A3" s="5" t="s">
        <v>855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8" t="s">
        <v>760</v>
      </c>
      <c r="I3" s="8" t="s">
        <v>761</v>
      </c>
      <c r="J3" s="8" t="s">
        <v>762</v>
      </c>
    </row>
    <row r="4" spans="1:10">
      <c r="A4" s="5" t="s">
        <v>856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8" t="s">
        <v>763</v>
      </c>
      <c r="I4" s="8" t="s">
        <v>11</v>
      </c>
      <c r="J4" s="8" t="s">
        <v>764</v>
      </c>
    </row>
    <row r="5" spans="1:10">
      <c r="A5" s="5" t="s">
        <v>857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8" t="s">
        <v>763</v>
      </c>
      <c r="I5" s="8" t="s">
        <v>11</v>
      </c>
      <c r="J5" s="8" t="s">
        <v>764</v>
      </c>
    </row>
    <row r="6" spans="1:10">
      <c r="A6" s="5" t="s">
        <v>858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8" t="s">
        <v>765</v>
      </c>
      <c r="I6" s="8" t="s">
        <v>766</v>
      </c>
      <c r="J6" s="8" t="s">
        <v>767</v>
      </c>
    </row>
    <row r="7" spans="1:10">
      <c r="A7" s="5" t="s">
        <v>859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8" t="s">
        <v>765</v>
      </c>
      <c r="I7" s="8" t="s">
        <v>766</v>
      </c>
      <c r="J7" s="8" t="s">
        <v>767</v>
      </c>
    </row>
    <row r="8" spans="1:10">
      <c r="A8" s="5" t="s">
        <v>860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8" t="s">
        <v>768</v>
      </c>
      <c r="I8" s="8" t="s">
        <v>11</v>
      </c>
      <c r="J8" s="8" t="s">
        <v>769</v>
      </c>
    </row>
    <row r="9" spans="1:10">
      <c r="A9" s="5" t="s">
        <v>861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8" t="s">
        <v>768</v>
      </c>
      <c r="I9" s="8" t="s">
        <v>11</v>
      </c>
      <c r="J9" s="8" t="s">
        <v>769</v>
      </c>
    </row>
    <row r="10" spans="1:10">
      <c r="A10" s="5" t="s">
        <v>862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8" t="s">
        <v>770</v>
      </c>
      <c r="I10" s="8" t="s">
        <v>771</v>
      </c>
      <c r="J10" s="8" t="s">
        <v>772</v>
      </c>
    </row>
    <row r="11" spans="1:10">
      <c r="A11" s="5" t="s">
        <v>863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8" t="s">
        <v>770</v>
      </c>
      <c r="I11" s="8" t="s">
        <v>771</v>
      </c>
      <c r="J11" s="8" t="s">
        <v>772</v>
      </c>
    </row>
    <row r="12" spans="1:10">
      <c r="A12" s="5" t="s">
        <v>864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8" t="s">
        <v>773</v>
      </c>
      <c r="I12" s="8" t="s">
        <v>774</v>
      </c>
      <c r="J12" s="8" t="s">
        <v>775</v>
      </c>
    </row>
    <row r="13" spans="1:10">
      <c r="A13" s="5" t="s">
        <v>865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8" t="s">
        <v>773</v>
      </c>
      <c r="I13" s="8" t="s">
        <v>774</v>
      </c>
      <c r="J13" s="8" t="s">
        <v>775</v>
      </c>
    </row>
    <row r="14" spans="1:10">
      <c r="A14" s="5" t="s">
        <v>866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8" t="s">
        <v>776</v>
      </c>
      <c r="I14" s="8" t="s">
        <v>11</v>
      </c>
      <c r="J14" s="8" t="s">
        <v>777</v>
      </c>
    </row>
    <row r="15" spans="1:10">
      <c r="A15" s="5" t="s">
        <v>867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8" t="s">
        <v>776</v>
      </c>
      <c r="I15" s="8" t="s">
        <v>11</v>
      </c>
      <c r="J15" s="8" t="s">
        <v>777</v>
      </c>
    </row>
    <row r="16" spans="1:10">
      <c r="A16" s="5" t="s">
        <v>868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8" t="s">
        <v>773</v>
      </c>
      <c r="I16" s="8" t="s">
        <v>778</v>
      </c>
      <c r="J16" s="8" t="s">
        <v>779</v>
      </c>
    </row>
    <row r="17" spans="1:10">
      <c r="A17" s="5" t="s">
        <v>869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8" t="s">
        <v>773</v>
      </c>
      <c r="I17" s="8" t="s">
        <v>778</v>
      </c>
      <c r="J17" s="8" t="s">
        <v>779</v>
      </c>
    </row>
    <row r="18" spans="1:10">
      <c r="A18" s="5" t="s">
        <v>870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8" t="s">
        <v>780</v>
      </c>
      <c r="I18" s="8" t="s">
        <v>777</v>
      </c>
      <c r="J18" s="8" t="s">
        <v>764</v>
      </c>
    </row>
    <row r="19" spans="1:10">
      <c r="A19" s="5" t="s">
        <v>871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8" t="s">
        <v>780</v>
      </c>
      <c r="I19" s="8" t="s">
        <v>777</v>
      </c>
      <c r="J19" s="8" t="s">
        <v>764</v>
      </c>
    </row>
    <row r="20" spans="1:10">
      <c r="A20" s="5" t="s">
        <v>872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8" t="s">
        <v>781</v>
      </c>
      <c r="I20" s="8" t="s">
        <v>761</v>
      </c>
      <c r="J20" s="8" t="s">
        <v>777</v>
      </c>
    </row>
    <row r="21" spans="1:10">
      <c r="A21" s="5" t="s">
        <v>873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8" t="s">
        <v>781</v>
      </c>
      <c r="I21" s="8" t="s">
        <v>761</v>
      </c>
      <c r="J21" s="8" t="s">
        <v>777</v>
      </c>
    </row>
    <row r="22" spans="1:10">
      <c r="A22" s="5" t="s">
        <v>874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8" t="s">
        <v>782</v>
      </c>
      <c r="I22" s="8" t="s">
        <v>783</v>
      </c>
      <c r="J22" s="8" t="s">
        <v>762</v>
      </c>
    </row>
    <row r="23" spans="1:10">
      <c r="A23" s="5" t="s">
        <v>875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8" t="s">
        <v>782</v>
      </c>
      <c r="I23" s="8" t="s">
        <v>783</v>
      </c>
      <c r="J23" s="8" t="s">
        <v>762</v>
      </c>
    </row>
    <row r="24" spans="1:10">
      <c r="A24" s="5" t="s">
        <v>876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8" t="s">
        <v>784</v>
      </c>
      <c r="I24" s="8" t="s">
        <v>11</v>
      </c>
      <c r="J24" s="8" t="s">
        <v>785</v>
      </c>
    </row>
    <row r="25" spans="1:10">
      <c r="A25" s="5" t="s">
        <v>877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8" t="s">
        <v>784</v>
      </c>
      <c r="I25" s="8" t="s">
        <v>11</v>
      </c>
      <c r="J25" s="8" t="s">
        <v>785</v>
      </c>
    </row>
    <row r="26" spans="1:10">
      <c r="A26" s="5" t="s">
        <v>878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8" t="s">
        <v>784</v>
      </c>
      <c r="I26" s="8" t="s">
        <v>761</v>
      </c>
      <c r="J26" s="8" t="s">
        <v>786</v>
      </c>
    </row>
    <row r="27" spans="1:10">
      <c r="A27" s="5" t="s">
        <v>879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8" t="s">
        <v>784</v>
      </c>
      <c r="I27" s="8" t="s">
        <v>761</v>
      </c>
      <c r="J27" s="8" t="s">
        <v>786</v>
      </c>
    </row>
    <row r="28" spans="1:10">
      <c r="A28" s="5" t="s">
        <v>880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8" t="s">
        <v>776</v>
      </c>
      <c r="I28" s="8" t="s">
        <v>787</v>
      </c>
      <c r="J28" s="8" t="s">
        <v>788</v>
      </c>
    </row>
    <row r="29" spans="1:10">
      <c r="A29" s="5" t="s">
        <v>881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8" t="s">
        <v>776</v>
      </c>
      <c r="I29" s="8" t="s">
        <v>787</v>
      </c>
      <c r="J29" s="8" t="s">
        <v>788</v>
      </c>
    </row>
    <row r="30" spans="1:10">
      <c r="A30" s="5" t="s">
        <v>882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8" t="s">
        <v>776</v>
      </c>
      <c r="I30" s="8" t="s">
        <v>789</v>
      </c>
      <c r="J30" s="8" t="s">
        <v>769</v>
      </c>
    </row>
    <row r="31" spans="1:10">
      <c r="A31" s="5" t="s">
        <v>883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8" t="s">
        <v>776</v>
      </c>
      <c r="I31" s="8" t="s">
        <v>789</v>
      </c>
      <c r="J31" s="8" t="s">
        <v>769</v>
      </c>
    </row>
    <row r="32" spans="1:10">
      <c r="A32" s="5" t="s">
        <v>884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8" t="s">
        <v>760</v>
      </c>
      <c r="I32" s="8" t="s">
        <v>284</v>
      </c>
      <c r="J32" s="8" t="s">
        <v>762</v>
      </c>
    </row>
    <row r="33" spans="1:10">
      <c r="A33" s="5" t="s">
        <v>885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8" t="s">
        <v>760</v>
      </c>
      <c r="I33" s="8" t="s">
        <v>284</v>
      </c>
      <c r="J33" s="8" t="s">
        <v>762</v>
      </c>
    </row>
    <row r="34" spans="1:10">
      <c r="A34" s="5" t="s">
        <v>886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8" t="s">
        <v>790</v>
      </c>
      <c r="I34" s="8" t="s">
        <v>11</v>
      </c>
      <c r="J34" s="8" t="s">
        <v>791</v>
      </c>
    </row>
    <row r="35" spans="1:10">
      <c r="A35" s="5" t="s">
        <v>887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8" t="s">
        <v>790</v>
      </c>
      <c r="I35" s="8" t="s">
        <v>11</v>
      </c>
      <c r="J35" s="8" t="s">
        <v>791</v>
      </c>
    </row>
    <row r="36" spans="1:10">
      <c r="A36" s="5" t="s">
        <v>888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8" t="s">
        <v>792</v>
      </c>
      <c r="I36" s="8" t="s">
        <v>11</v>
      </c>
      <c r="J36" s="8" t="s">
        <v>771</v>
      </c>
    </row>
    <row r="37" spans="1:10">
      <c r="A37" s="5" t="s">
        <v>889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8" t="s">
        <v>792</v>
      </c>
      <c r="I37" s="8" t="s">
        <v>11</v>
      </c>
      <c r="J37" s="8" t="s">
        <v>771</v>
      </c>
    </row>
    <row r="38" spans="1:10">
      <c r="A38" s="5" t="s">
        <v>890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8" t="s">
        <v>793</v>
      </c>
      <c r="I38" s="8" t="s">
        <v>794</v>
      </c>
      <c r="J38" s="8" t="s">
        <v>786</v>
      </c>
    </row>
    <row r="39" spans="1:10">
      <c r="A39" s="5" t="s">
        <v>891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8" t="s">
        <v>793</v>
      </c>
      <c r="I39" s="8" t="s">
        <v>794</v>
      </c>
      <c r="J39" s="8" t="s">
        <v>786</v>
      </c>
    </row>
    <row r="40" spans="1:10">
      <c r="A40" s="5" t="s">
        <v>892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8" t="s">
        <v>795</v>
      </c>
      <c r="I40" s="8" t="s">
        <v>764</v>
      </c>
      <c r="J40" s="8" t="s">
        <v>796</v>
      </c>
    </row>
    <row r="41" spans="1:10">
      <c r="A41" s="5" t="s">
        <v>893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8" t="s">
        <v>795</v>
      </c>
      <c r="I41" s="8" t="s">
        <v>764</v>
      </c>
      <c r="J41" s="8" t="s">
        <v>796</v>
      </c>
    </row>
    <row r="42" spans="1:10">
      <c r="A42" s="5" t="s">
        <v>894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8" t="s">
        <v>797</v>
      </c>
      <c r="I42" s="8" t="s">
        <v>11</v>
      </c>
      <c r="J42" s="8" t="s">
        <v>777</v>
      </c>
    </row>
    <row r="43" spans="1:10">
      <c r="A43" s="5" t="s">
        <v>895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8" t="s">
        <v>797</v>
      </c>
      <c r="I43" s="8" t="s">
        <v>11</v>
      </c>
      <c r="J43" s="8" t="s">
        <v>777</v>
      </c>
    </row>
    <row r="44" spans="1:10">
      <c r="A44" s="5" t="s">
        <v>896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8" t="s">
        <v>798</v>
      </c>
      <c r="I44" s="8" t="s">
        <v>771</v>
      </c>
      <c r="J44" s="8" t="s">
        <v>796</v>
      </c>
    </row>
    <row r="45" spans="1:10">
      <c r="A45" s="5" t="s">
        <v>897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8" t="s">
        <v>798</v>
      </c>
      <c r="I45" s="8" t="s">
        <v>771</v>
      </c>
      <c r="J45" s="8" t="s">
        <v>796</v>
      </c>
    </row>
    <row r="46" spans="1:10">
      <c r="A46" s="5" t="s">
        <v>898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8" t="s">
        <v>799</v>
      </c>
      <c r="I46" s="8" t="s">
        <v>800</v>
      </c>
      <c r="J46" s="8" t="s">
        <v>801</v>
      </c>
    </row>
    <row r="47" spans="1:10">
      <c r="A47" s="5" t="s">
        <v>899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8" t="s">
        <v>799</v>
      </c>
      <c r="I47" s="8" t="s">
        <v>800</v>
      </c>
      <c r="J47" s="8" t="s">
        <v>801</v>
      </c>
    </row>
    <row r="48" spans="1:10">
      <c r="A48" s="5" t="s">
        <v>900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8" t="s">
        <v>802</v>
      </c>
      <c r="I48" s="8" t="s">
        <v>791</v>
      </c>
      <c r="J48" s="8" t="s">
        <v>772</v>
      </c>
    </row>
    <row r="49" spans="1:10">
      <c r="A49" s="5" t="s">
        <v>901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8" t="s">
        <v>802</v>
      </c>
      <c r="I49" s="8" t="s">
        <v>791</v>
      </c>
      <c r="J49" s="8" t="s">
        <v>772</v>
      </c>
    </row>
    <row r="50" spans="1:10">
      <c r="A50" s="5" t="s">
        <v>902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8" t="s">
        <v>803</v>
      </c>
      <c r="I50" s="8" t="s">
        <v>804</v>
      </c>
      <c r="J50" s="8" t="s">
        <v>805</v>
      </c>
    </row>
    <row r="51" spans="1:10">
      <c r="A51" s="5" t="s">
        <v>903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8" t="s">
        <v>803</v>
      </c>
      <c r="I51" s="8" t="s">
        <v>804</v>
      </c>
      <c r="J51" s="8" t="s">
        <v>805</v>
      </c>
    </row>
    <row r="52" spans="1:10">
      <c r="A52" s="5" t="s">
        <v>904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8" t="s">
        <v>806</v>
      </c>
      <c r="I52" s="8"/>
      <c r="J52" s="8" t="s">
        <v>807</v>
      </c>
    </row>
    <row r="53" spans="1:10">
      <c r="A53" s="5" t="s">
        <v>905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8" t="s">
        <v>806</v>
      </c>
      <c r="I53" s="8"/>
      <c r="J53" s="8" t="s">
        <v>807</v>
      </c>
    </row>
    <row r="54" spans="1:10">
      <c r="A54" s="5" t="s">
        <v>906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8" t="s">
        <v>773</v>
      </c>
      <c r="I54" s="8" t="s">
        <v>785</v>
      </c>
      <c r="J54" s="8" t="s">
        <v>777</v>
      </c>
    </row>
    <row r="55" spans="1:10">
      <c r="A55" s="5" t="s">
        <v>907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8" t="s">
        <v>773</v>
      </c>
      <c r="I55" s="8" t="s">
        <v>785</v>
      </c>
      <c r="J55" s="8" t="s">
        <v>777</v>
      </c>
    </row>
    <row r="56" spans="1:10">
      <c r="A56" s="5" t="s">
        <v>908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8" t="s">
        <v>799</v>
      </c>
      <c r="I56" s="8" t="s">
        <v>808</v>
      </c>
      <c r="J56" s="8" t="s">
        <v>809</v>
      </c>
    </row>
    <row r="57" spans="1:10">
      <c r="A57" s="5" t="s">
        <v>909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8" t="s">
        <v>799</v>
      </c>
      <c r="I57" s="8" t="s">
        <v>808</v>
      </c>
      <c r="J57" s="8" t="s">
        <v>809</v>
      </c>
    </row>
    <row r="58" spans="1:10">
      <c r="A58" s="5" t="s">
        <v>910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8" t="s">
        <v>810</v>
      </c>
      <c r="I58" s="8" t="s">
        <v>811</v>
      </c>
      <c r="J58" s="8" t="s">
        <v>775</v>
      </c>
    </row>
    <row r="59" spans="1:10">
      <c r="A59" s="5" t="s">
        <v>911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8" t="s">
        <v>810</v>
      </c>
      <c r="I59" s="8" t="s">
        <v>811</v>
      </c>
      <c r="J59" s="8" t="s">
        <v>775</v>
      </c>
    </row>
    <row r="60" spans="1:10">
      <c r="A60" s="5" t="s">
        <v>912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8" t="s">
        <v>812</v>
      </c>
      <c r="I60" s="8" t="s">
        <v>813</v>
      </c>
      <c r="J60" s="8" t="s">
        <v>805</v>
      </c>
    </row>
    <row r="61" spans="1:10">
      <c r="A61" s="5" t="s">
        <v>913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8" t="s">
        <v>812</v>
      </c>
      <c r="I61" s="8" t="s">
        <v>813</v>
      </c>
      <c r="J61" s="8" t="s">
        <v>805</v>
      </c>
    </row>
    <row r="62" spans="1:10">
      <c r="A62" s="5" t="s">
        <v>914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8" t="s">
        <v>814</v>
      </c>
      <c r="I62" s="8" t="s">
        <v>808</v>
      </c>
      <c r="J62" s="8" t="s">
        <v>785</v>
      </c>
    </row>
    <row r="63" spans="1:10">
      <c r="A63" s="5" t="s">
        <v>915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8" t="s">
        <v>814</v>
      </c>
      <c r="I63" s="8" t="s">
        <v>808</v>
      </c>
      <c r="J63" s="8" t="s">
        <v>785</v>
      </c>
    </row>
    <row r="64" spans="1:10">
      <c r="A64" s="5" t="s">
        <v>916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8" t="s">
        <v>815</v>
      </c>
      <c r="I64" s="8" t="s">
        <v>808</v>
      </c>
      <c r="J64" s="8" t="s">
        <v>816</v>
      </c>
    </row>
    <row r="65" spans="1:10">
      <c r="A65" s="5" t="s">
        <v>917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8" t="s">
        <v>815</v>
      </c>
      <c r="I65" s="8" t="s">
        <v>808</v>
      </c>
      <c r="J65" s="8" t="s">
        <v>816</v>
      </c>
    </row>
    <row r="66" spans="1:10">
      <c r="A66" s="5" t="s">
        <v>918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8" t="s">
        <v>817</v>
      </c>
      <c r="I66" s="8" t="s">
        <v>771</v>
      </c>
      <c r="J66" s="8" t="s">
        <v>772</v>
      </c>
    </row>
    <row r="67" spans="1:10">
      <c r="A67" s="5" t="s">
        <v>919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8" t="s">
        <v>817</v>
      </c>
      <c r="I67" s="8" t="s">
        <v>771</v>
      </c>
      <c r="J67" s="8" t="s">
        <v>772</v>
      </c>
    </row>
    <row r="68" spans="1:10">
      <c r="A68" s="5" t="s">
        <v>920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8" t="s">
        <v>818</v>
      </c>
      <c r="I68" s="8" t="s">
        <v>11</v>
      </c>
      <c r="J68" s="8" t="s">
        <v>762</v>
      </c>
    </row>
    <row r="69" spans="1:10">
      <c r="A69" s="5" t="s">
        <v>921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8" t="s">
        <v>818</v>
      </c>
      <c r="I69" s="8" t="s">
        <v>11</v>
      </c>
      <c r="J69" s="8" t="s">
        <v>762</v>
      </c>
    </row>
    <row r="70" spans="1:10">
      <c r="A70" s="5" t="s">
        <v>922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8" t="s">
        <v>780</v>
      </c>
      <c r="I70" s="8" t="s">
        <v>761</v>
      </c>
      <c r="J70" s="8" t="s">
        <v>764</v>
      </c>
    </row>
    <row r="71" spans="1:10">
      <c r="A71" s="5" t="s">
        <v>923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8" t="s">
        <v>780</v>
      </c>
      <c r="I71" s="8" t="s">
        <v>761</v>
      </c>
      <c r="J71" s="8" t="s">
        <v>764</v>
      </c>
    </row>
    <row r="72" spans="1:10">
      <c r="A72" s="5" t="s">
        <v>924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8" t="s">
        <v>763</v>
      </c>
      <c r="I72" s="8" t="s">
        <v>771</v>
      </c>
      <c r="J72" s="8" t="s">
        <v>764</v>
      </c>
    </row>
    <row r="73" spans="1:10">
      <c r="A73" s="5" t="s">
        <v>925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8" t="s">
        <v>763</v>
      </c>
      <c r="I73" s="8" t="s">
        <v>771</v>
      </c>
      <c r="J73" s="8" t="s">
        <v>764</v>
      </c>
    </row>
    <row r="74" spans="1:10">
      <c r="A74" s="5" t="s">
        <v>926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8" t="s">
        <v>819</v>
      </c>
      <c r="I74" s="8" t="s">
        <v>11</v>
      </c>
      <c r="J74" s="8" t="s">
        <v>762</v>
      </c>
    </row>
    <row r="75" spans="1:10">
      <c r="A75" s="5" t="s">
        <v>927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8" t="s">
        <v>819</v>
      </c>
      <c r="I75" s="8" t="s">
        <v>11</v>
      </c>
      <c r="J75" s="8" t="s">
        <v>762</v>
      </c>
    </row>
    <row r="76" spans="1:10">
      <c r="A76" s="5" t="s">
        <v>928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8" t="s">
        <v>820</v>
      </c>
      <c r="I76" s="8" t="s">
        <v>811</v>
      </c>
      <c r="J76" s="8" t="s">
        <v>788</v>
      </c>
    </row>
    <row r="77" spans="1:10">
      <c r="A77" s="5" t="s">
        <v>929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8" t="s">
        <v>820</v>
      </c>
      <c r="I77" s="8" t="s">
        <v>811</v>
      </c>
      <c r="J77" s="8" t="s">
        <v>788</v>
      </c>
    </row>
    <row r="78" spans="1:10">
      <c r="A78" s="5" t="s">
        <v>930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8" t="s">
        <v>803</v>
      </c>
      <c r="I78" s="8" t="s">
        <v>11</v>
      </c>
      <c r="J78" s="8" t="s">
        <v>772</v>
      </c>
    </row>
    <row r="79" spans="1:10">
      <c r="A79" s="5" t="s">
        <v>931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8" t="s">
        <v>803</v>
      </c>
      <c r="I79" s="8" t="s">
        <v>11</v>
      </c>
      <c r="J79" s="8" t="s">
        <v>772</v>
      </c>
    </row>
    <row r="80" spans="1:10">
      <c r="A80" s="5" t="s">
        <v>932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8" t="s">
        <v>821</v>
      </c>
      <c r="I80" s="8" t="s">
        <v>771</v>
      </c>
      <c r="J80" s="8" t="s">
        <v>822</v>
      </c>
    </row>
    <row r="81" spans="1:10">
      <c r="A81" s="5" t="s">
        <v>933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8" t="s">
        <v>821</v>
      </c>
      <c r="I81" s="8" t="s">
        <v>771</v>
      </c>
      <c r="J81" s="8" t="s">
        <v>822</v>
      </c>
    </row>
    <row r="82" spans="1:10">
      <c r="A82" s="5" t="s">
        <v>934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8" t="s">
        <v>823</v>
      </c>
      <c r="I82" s="8" t="s">
        <v>11</v>
      </c>
      <c r="J82" s="8" t="s">
        <v>764</v>
      </c>
    </row>
    <row r="83" spans="1:10">
      <c r="A83" s="5" t="s">
        <v>935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8" t="s">
        <v>823</v>
      </c>
      <c r="I83" s="8" t="s">
        <v>11</v>
      </c>
      <c r="J83" s="8" t="s">
        <v>764</v>
      </c>
    </row>
    <row r="84" spans="1:10">
      <c r="A84" s="5" t="s">
        <v>936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8" t="s">
        <v>18</v>
      </c>
      <c r="I84" s="8" t="s">
        <v>824</v>
      </c>
      <c r="J84" s="8" t="s">
        <v>796</v>
      </c>
    </row>
    <row r="85" spans="1:10">
      <c r="A85" s="5" t="s">
        <v>937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8" t="s">
        <v>18</v>
      </c>
      <c r="I85" s="8" t="s">
        <v>824</v>
      </c>
      <c r="J85" s="8" t="s">
        <v>796</v>
      </c>
    </row>
    <row r="86" spans="1:10">
      <c r="A86" s="5" t="s">
        <v>938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8" t="s">
        <v>348</v>
      </c>
      <c r="I86" s="8" t="s">
        <v>761</v>
      </c>
      <c r="J86" s="8" t="s">
        <v>777</v>
      </c>
    </row>
    <row r="87" spans="1:10">
      <c r="A87" s="5" t="s">
        <v>939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8" t="s">
        <v>348</v>
      </c>
      <c r="I87" s="8" t="s">
        <v>761</v>
      </c>
      <c r="J87" s="8" t="s">
        <v>777</v>
      </c>
    </row>
    <row r="88" spans="1:10">
      <c r="A88" s="5" t="s">
        <v>940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8" t="s">
        <v>825</v>
      </c>
      <c r="I88" s="8" t="s">
        <v>777</v>
      </c>
      <c r="J88" s="8" t="s">
        <v>785</v>
      </c>
    </row>
    <row r="89" spans="1:10">
      <c r="A89" s="5" t="s">
        <v>941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8" t="s">
        <v>825</v>
      </c>
      <c r="I89" s="8" t="s">
        <v>777</v>
      </c>
      <c r="J89" s="8" t="s">
        <v>785</v>
      </c>
    </row>
    <row r="90" spans="1:10">
      <c r="A90" s="5" t="s">
        <v>942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8" t="s">
        <v>818</v>
      </c>
      <c r="I90" s="8" t="s">
        <v>824</v>
      </c>
      <c r="J90" s="8" t="s">
        <v>764</v>
      </c>
    </row>
    <row r="91" spans="1:10">
      <c r="A91" s="5" t="s">
        <v>943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8" t="s">
        <v>818</v>
      </c>
      <c r="I91" s="8" t="s">
        <v>824</v>
      </c>
      <c r="J91" s="8" t="s">
        <v>764</v>
      </c>
    </row>
    <row r="92" spans="1:10">
      <c r="A92" s="5" t="s">
        <v>944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8" t="s">
        <v>763</v>
      </c>
      <c r="I92" s="8" t="s">
        <v>809</v>
      </c>
      <c r="J92" s="8" t="s">
        <v>777</v>
      </c>
    </row>
    <row r="93" spans="1:10">
      <c r="A93" s="5" t="s">
        <v>945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8" t="s">
        <v>763</v>
      </c>
      <c r="I93" s="8" t="s">
        <v>809</v>
      </c>
      <c r="J93" s="8" t="s">
        <v>777</v>
      </c>
    </row>
    <row r="94" spans="1:10">
      <c r="A94" s="5" t="s">
        <v>946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8" t="s">
        <v>760</v>
      </c>
      <c r="I94" s="8" t="s">
        <v>826</v>
      </c>
      <c r="J94" s="8" t="s">
        <v>805</v>
      </c>
    </row>
    <row r="95" spans="1:10">
      <c r="A95" s="5" t="s">
        <v>947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8" t="s">
        <v>760</v>
      </c>
      <c r="I95" s="8" t="s">
        <v>826</v>
      </c>
      <c r="J95" s="8" t="s">
        <v>805</v>
      </c>
    </row>
    <row r="96" spans="1:10">
      <c r="A96" s="5" t="s">
        <v>948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8" t="s">
        <v>827</v>
      </c>
      <c r="I96" s="8" t="s">
        <v>284</v>
      </c>
      <c r="J96" s="8" t="s">
        <v>777</v>
      </c>
    </row>
    <row r="97" spans="1:10">
      <c r="A97" s="5" t="s">
        <v>949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8" t="s">
        <v>827</v>
      </c>
      <c r="I97" s="8" t="s">
        <v>284</v>
      </c>
      <c r="J97" s="8" t="s">
        <v>777</v>
      </c>
    </row>
    <row r="98" spans="1:10">
      <c r="A98" s="5" t="s">
        <v>950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8" t="s">
        <v>828</v>
      </c>
      <c r="I98" s="8" t="s">
        <v>11</v>
      </c>
      <c r="J98" s="8" t="s">
        <v>829</v>
      </c>
    </row>
    <row r="99" spans="1:10">
      <c r="A99" s="5" t="s">
        <v>951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8" t="s">
        <v>828</v>
      </c>
      <c r="I99" s="8" t="s">
        <v>11</v>
      </c>
      <c r="J99" s="8" t="s">
        <v>829</v>
      </c>
    </row>
    <row r="100" spans="1:10">
      <c r="A100" s="5" t="s">
        <v>952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8" t="s">
        <v>817</v>
      </c>
      <c r="I100" s="8" t="s">
        <v>830</v>
      </c>
      <c r="J100" s="8" t="s">
        <v>807</v>
      </c>
    </row>
    <row r="101" spans="1:10">
      <c r="A101" s="5" t="s">
        <v>953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8" t="s">
        <v>817</v>
      </c>
      <c r="I101" s="8" t="s">
        <v>830</v>
      </c>
      <c r="J101" s="8" t="s">
        <v>807</v>
      </c>
    </row>
    <row r="102" spans="1:10">
      <c r="A102" s="5" t="s">
        <v>954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8" t="s">
        <v>831</v>
      </c>
      <c r="I102" s="8" t="s">
        <v>284</v>
      </c>
      <c r="J102" s="8" t="s">
        <v>769</v>
      </c>
    </row>
    <row r="103" spans="1:10">
      <c r="A103" s="5" t="s">
        <v>955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8" t="s">
        <v>831</v>
      </c>
      <c r="I103" s="8" t="s">
        <v>284</v>
      </c>
      <c r="J103" s="8" t="s">
        <v>769</v>
      </c>
    </row>
    <row r="104" spans="1:10">
      <c r="A104" s="5" t="s">
        <v>956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8" t="s">
        <v>832</v>
      </c>
      <c r="I104" s="8" t="s">
        <v>284</v>
      </c>
      <c r="J104" s="8" t="s">
        <v>791</v>
      </c>
    </row>
    <row r="105" spans="1:10">
      <c r="A105" s="5" t="s">
        <v>957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8" t="s">
        <v>832</v>
      </c>
      <c r="I105" s="8" t="s">
        <v>284</v>
      </c>
      <c r="J105" s="8" t="s">
        <v>791</v>
      </c>
    </row>
    <row r="106" spans="1:10">
      <c r="A106" s="5" t="s">
        <v>958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8" t="s">
        <v>833</v>
      </c>
      <c r="I106" s="8" t="s">
        <v>767</v>
      </c>
      <c r="J106" s="8" t="s">
        <v>762</v>
      </c>
    </row>
    <row r="107" spans="1:10">
      <c r="A107" s="5" t="s">
        <v>959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8" t="s">
        <v>833</v>
      </c>
      <c r="I107" s="8" t="s">
        <v>767</v>
      </c>
      <c r="J107" s="8" t="s">
        <v>762</v>
      </c>
    </row>
    <row r="108" spans="1:10">
      <c r="A108" s="5" t="s">
        <v>960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8" t="s">
        <v>765</v>
      </c>
      <c r="I108" s="8" t="s">
        <v>11</v>
      </c>
      <c r="J108" s="8" t="s">
        <v>809</v>
      </c>
    </row>
    <row r="109" spans="1:10">
      <c r="A109" s="5" t="s">
        <v>961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8" t="s">
        <v>765</v>
      </c>
      <c r="I109" s="8" t="s">
        <v>11</v>
      </c>
      <c r="J109" s="8" t="s">
        <v>809</v>
      </c>
    </row>
    <row r="110" spans="1:10">
      <c r="A110" s="5" t="s">
        <v>962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8" t="s">
        <v>834</v>
      </c>
      <c r="I110" s="8"/>
      <c r="J110" s="8" t="s">
        <v>805</v>
      </c>
    </row>
    <row r="111" spans="1:10">
      <c r="A111" s="5" t="s">
        <v>963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8" t="s">
        <v>834</v>
      </c>
      <c r="I111" s="8"/>
      <c r="J111" s="8" t="s">
        <v>805</v>
      </c>
    </row>
    <row r="112" spans="1:10">
      <c r="A112" s="5" t="s">
        <v>964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8" t="s">
        <v>835</v>
      </c>
      <c r="I112" s="8" t="s">
        <v>11</v>
      </c>
      <c r="J112" s="8" t="s">
        <v>796</v>
      </c>
    </row>
    <row r="113" spans="1:10">
      <c r="A113" s="5" t="s">
        <v>965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8" t="s">
        <v>835</v>
      </c>
      <c r="I113" s="8" t="s">
        <v>11</v>
      </c>
      <c r="J113" s="8" t="s">
        <v>796</v>
      </c>
    </row>
    <row r="114" spans="1:10">
      <c r="A114" s="5" t="s">
        <v>966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8" t="s">
        <v>836</v>
      </c>
      <c r="I114" s="8" t="s">
        <v>807</v>
      </c>
      <c r="J114" s="8" t="s">
        <v>767</v>
      </c>
    </row>
    <row r="115" spans="1:10">
      <c r="A115" s="5" t="s">
        <v>967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8" t="s">
        <v>836</v>
      </c>
      <c r="I115" s="8" t="s">
        <v>807</v>
      </c>
      <c r="J115" s="8" t="s">
        <v>767</v>
      </c>
    </row>
    <row r="116" spans="1:10">
      <c r="A116" s="5" t="s">
        <v>968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8" t="s">
        <v>837</v>
      </c>
      <c r="I116" s="8" t="s">
        <v>761</v>
      </c>
      <c r="J116" s="8" t="s">
        <v>772</v>
      </c>
    </row>
    <row r="117" spans="1:10">
      <c r="A117" s="5" t="s">
        <v>969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8" t="s">
        <v>837</v>
      </c>
      <c r="I117" s="8" t="s">
        <v>761</v>
      </c>
      <c r="J117" s="8" t="s">
        <v>772</v>
      </c>
    </row>
    <row r="118" spans="1:10">
      <c r="A118" s="5" t="s">
        <v>970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8" t="s">
        <v>838</v>
      </c>
      <c r="I118" s="8" t="s">
        <v>839</v>
      </c>
      <c r="J118" s="8" t="s">
        <v>764</v>
      </c>
    </row>
    <row r="119" spans="1:10">
      <c r="A119" s="5" t="s">
        <v>971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8" t="s">
        <v>838</v>
      </c>
      <c r="I119" s="8" t="s">
        <v>839</v>
      </c>
      <c r="J119" s="8" t="s">
        <v>764</v>
      </c>
    </row>
    <row r="120" spans="1:10">
      <c r="A120" s="5" t="s">
        <v>972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8" t="s">
        <v>831</v>
      </c>
      <c r="I120" s="8" t="s">
        <v>771</v>
      </c>
      <c r="J120" s="8" t="s">
        <v>791</v>
      </c>
    </row>
    <row r="121" spans="1:10">
      <c r="A121" s="5" t="s">
        <v>973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8" t="s">
        <v>831</v>
      </c>
      <c r="I121" s="8" t="s">
        <v>771</v>
      </c>
      <c r="J121" s="8" t="s">
        <v>791</v>
      </c>
    </row>
    <row r="122" spans="1:10">
      <c r="A122" s="5" t="s">
        <v>974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8" t="s">
        <v>840</v>
      </c>
      <c r="I122" s="8" t="s">
        <v>11</v>
      </c>
      <c r="J122" s="8" t="s">
        <v>767</v>
      </c>
    </row>
    <row r="123" spans="1:10">
      <c r="A123" s="5" t="s">
        <v>975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8" t="s">
        <v>840</v>
      </c>
      <c r="I123" s="8" t="s">
        <v>11</v>
      </c>
      <c r="J123" s="8" t="s">
        <v>767</v>
      </c>
    </row>
    <row r="124" spans="1:10">
      <c r="A124" s="5" t="s">
        <v>976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8" t="s">
        <v>841</v>
      </c>
      <c r="I124" s="8" t="s">
        <v>762</v>
      </c>
      <c r="J124" s="8" t="s">
        <v>807</v>
      </c>
    </row>
    <row r="125" spans="1:10">
      <c r="A125" s="5" t="s">
        <v>977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8" t="s">
        <v>841</v>
      </c>
      <c r="I125" s="8" t="s">
        <v>762</v>
      </c>
      <c r="J125" s="8" t="s">
        <v>807</v>
      </c>
    </row>
    <row r="126" spans="1:10">
      <c r="A126" s="5" t="s">
        <v>978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8" t="s">
        <v>835</v>
      </c>
      <c r="I126" s="8" t="s">
        <v>767</v>
      </c>
      <c r="J126" s="8" t="s">
        <v>842</v>
      </c>
    </row>
    <row r="127" spans="1:10">
      <c r="A127" s="5" t="s">
        <v>979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8" t="s">
        <v>835</v>
      </c>
      <c r="I127" s="8" t="s">
        <v>767</v>
      </c>
      <c r="J127" s="8" t="s">
        <v>842</v>
      </c>
    </row>
    <row r="128" spans="1:10">
      <c r="A128" s="5" t="s">
        <v>980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8" t="s">
        <v>843</v>
      </c>
      <c r="I128" s="8" t="s">
        <v>774</v>
      </c>
      <c r="J128" s="8" t="s">
        <v>791</v>
      </c>
    </row>
    <row r="129" spans="1:10">
      <c r="A129" s="5" t="s">
        <v>981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8" t="s">
        <v>843</v>
      </c>
      <c r="I129" s="8" t="s">
        <v>774</v>
      </c>
      <c r="J129" s="8" t="s">
        <v>791</v>
      </c>
    </row>
    <row r="130" spans="1:10">
      <c r="A130" s="5" t="s">
        <v>982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8" t="s">
        <v>821</v>
      </c>
      <c r="I130" s="8" t="s">
        <v>11</v>
      </c>
      <c r="J130" s="8" t="s">
        <v>777</v>
      </c>
    </row>
    <row r="131" spans="1:10">
      <c r="A131" s="5" t="s">
        <v>983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8" t="s">
        <v>821</v>
      </c>
      <c r="I131" s="8" t="s">
        <v>11</v>
      </c>
      <c r="J131" s="8" t="s">
        <v>777</v>
      </c>
    </row>
    <row r="132" spans="1:10">
      <c r="A132" s="5" t="s">
        <v>984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8" t="s">
        <v>844</v>
      </c>
      <c r="I132" s="8" t="s">
        <v>11</v>
      </c>
      <c r="J132" s="8" t="s">
        <v>824</v>
      </c>
    </row>
    <row r="133" spans="1:10">
      <c r="A133" s="5" t="s">
        <v>985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8" t="s">
        <v>844</v>
      </c>
      <c r="I133" s="8" t="s">
        <v>11</v>
      </c>
      <c r="J133" s="8" t="s">
        <v>824</v>
      </c>
    </row>
    <row r="134" spans="1:10">
      <c r="A134" s="5" t="s">
        <v>986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8" t="s">
        <v>797</v>
      </c>
      <c r="I134" s="8" t="s">
        <v>845</v>
      </c>
      <c r="J134" s="8" t="s">
        <v>777</v>
      </c>
    </row>
    <row r="135" spans="1:10">
      <c r="A135" s="5" t="s">
        <v>987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8" t="s">
        <v>797</v>
      </c>
      <c r="I135" s="8" t="s">
        <v>845</v>
      </c>
      <c r="J135" s="8" t="s">
        <v>777</v>
      </c>
    </row>
    <row r="136" spans="1:10">
      <c r="A136" s="5" t="s">
        <v>988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8" t="s">
        <v>846</v>
      </c>
      <c r="I136" s="8" t="s">
        <v>847</v>
      </c>
      <c r="J136" s="8" t="s">
        <v>778</v>
      </c>
    </row>
    <row r="137" spans="1:10">
      <c r="A137" s="5" t="s">
        <v>989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8" t="s">
        <v>846</v>
      </c>
      <c r="I137" s="8" t="s">
        <v>847</v>
      </c>
      <c r="J137" s="8" t="s">
        <v>778</v>
      </c>
    </row>
    <row r="138" spans="1:10">
      <c r="A138" s="5" t="s">
        <v>990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8" t="s">
        <v>834</v>
      </c>
      <c r="I138" s="8" t="s">
        <v>785</v>
      </c>
      <c r="J138" s="8" t="s">
        <v>791</v>
      </c>
    </row>
    <row r="139" spans="1:10">
      <c r="A139" s="5" t="s">
        <v>991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8" t="s">
        <v>834</v>
      </c>
      <c r="I139" s="8" t="s">
        <v>785</v>
      </c>
      <c r="J139" s="8" t="s">
        <v>791</v>
      </c>
    </row>
    <row r="140" spans="1:10">
      <c r="A140" s="5" t="s">
        <v>992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8" t="s">
        <v>782</v>
      </c>
      <c r="I140" s="8" t="s">
        <v>848</v>
      </c>
      <c r="J140" s="8" t="s">
        <v>791</v>
      </c>
    </row>
    <row r="141" spans="1:10">
      <c r="A141" s="5" t="s">
        <v>993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8" t="s">
        <v>782</v>
      </c>
      <c r="I141" s="8" t="s">
        <v>848</v>
      </c>
      <c r="J141" s="8" t="s">
        <v>791</v>
      </c>
    </row>
    <row r="142" spans="1:10">
      <c r="A142" s="5" t="s">
        <v>994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8" t="s">
        <v>814</v>
      </c>
      <c r="I142" s="8" t="s">
        <v>849</v>
      </c>
      <c r="J142" s="8" t="s">
        <v>791</v>
      </c>
    </row>
    <row r="143" spans="1:10">
      <c r="A143" s="5" t="s">
        <v>995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8" t="s">
        <v>814</v>
      </c>
      <c r="I143" s="8" t="s">
        <v>849</v>
      </c>
      <c r="J143" s="8" t="s">
        <v>791</v>
      </c>
    </row>
    <row r="144" spans="1:10">
      <c r="A144" s="5" t="s">
        <v>996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8" t="s">
        <v>850</v>
      </c>
      <c r="I144" s="8" t="s">
        <v>851</v>
      </c>
      <c r="J144" s="8" t="s">
        <v>786</v>
      </c>
    </row>
    <row r="145" spans="1:10">
      <c r="A145" s="5" t="s">
        <v>997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8" t="s">
        <v>850</v>
      </c>
      <c r="I145" s="8" t="s">
        <v>851</v>
      </c>
      <c r="J145" s="8" t="s">
        <v>786</v>
      </c>
    </row>
    <row r="146" spans="1:10">
      <c r="A146" s="5" t="s">
        <v>998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8" t="s">
        <v>832</v>
      </c>
      <c r="I146" s="8" t="s">
        <v>11</v>
      </c>
      <c r="J146" s="8" t="s">
        <v>791</v>
      </c>
    </row>
    <row r="147" spans="1:10">
      <c r="A147" s="5" t="s">
        <v>999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8" t="s">
        <v>832</v>
      </c>
      <c r="I147" s="8" t="s">
        <v>11</v>
      </c>
      <c r="J147" s="8" t="s">
        <v>791</v>
      </c>
    </row>
    <row r="148" spans="1:10">
      <c r="A148" s="5" t="s">
        <v>1000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8" t="s">
        <v>828</v>
      </c>
      <c r="I148" s="8" t="s">
        <v>11</v>
      </c>
      <c r="J148" s="8" t="s">
        <v>762</v>
      </c>
    </row>
    <row r="149" spans="1:10">
      <c r="A149" s="5" t="s">
        <v>1001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8" t="s">
        <v>828</v>
      </c>
      <c r="I149" s="8" t="s">
        <v>11</v>
      </c>
      <c r="J149" s="8" t="s">
        <v>762</v>
      </c>
    </row>
    <row r="150" spans="1:10">
      <c r="A150" s="5" t="s">
        <v>1002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8" t="s">
        <v>782</v>
      </c>
      <c r="I150" s="8" t="s">
        <v>772</v>
      </c>
      <c r="J150" s="8" t="s">
        <v>764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H150"/>
  <sheetViews>
    <sheetView zoomScale="70" zoomScaleNormal="115" workbookViewId="0">
      <selection activeCell="B2" sqref="B2"/>
    </sheetView>
  </sheetViews>
  <sheetFormatPr defaultRowHeight="14.4"/>
  <cols>
    <col min="1" max="2" width="29.33203125" customWidth="1"/>
    <col min="3" max="3" width="28.44140625" customWidth="1"/>
    <col min="4" max="4" width="29.88671875" style="17" customWidth="1"/>
    <col min="5" max="5" width="18.77734375" style="17" customWidth="1"/>
    <col min="6" max="6" width="17.6640625" style="17" customWidth="1"/>
    <col min="7" max="7" width="11.33203125" bestFit="1" customWidth="1"/>
    <col min="8" max="8" width="13.44140625" bestFit="1" customWidth="1"/>
  </cols>
  <sheetData>
    <row r="1" spans="1:8" ht="39" customHeight="1">
      <c r="A1" s="1" t="str">
        <f>[1]Break!A1</f>
        <v>Employee</v>
      </c>
      <c r="B1" s="1" t="s">
        <v>1147</v>
      </c>
      <c r="C1" s="2" t="s">
        <v>852</v>
      </c>
      <c r="D1" s="16" t="s">
        <v>853</v>
      </c>
      <c r="E1" s="18" t="s">
        <v>448</v>
      </c>
      <c r="F1" s="18" t="s">
        <v>8</v>
      </c>
      <c r="G1" s="3" t="s">
        <v>449</v>
      </c>
      <c r="H1" s="3" t="s">
        <v>451</v>
      </c>
    </row>
    <row r="2" spans="1:8">
      <c r="A2" s="5" t="s">
        <v>854</v>
      </c>
      <c r="B2" s="5">
        <v>1008512</v>
      </c>
      <c r="C2" t="s">
        <v>1146</v>
      </c>
      <c r="D2" s="17">
        <f t="shared" ref="D2:D33" si="0">TIMEVALUE(VLOOKUP(A2,effD,2,0))</f>
        <v>0.34424768518518517</v>
      </c>
      <c r="E2" s="17">
        <f t="shared" ref="E2:E33" si="1">TIMEVALUE(VLOOKUP(A2,effD,3,0))</f>
        <v>0.20693287037037036</v>
      </c>
      <c r="F2" s="17">
        <f t="shared" ref="F2:F33" si="2">TIMEVALUE(VLOOKUP(A2,breakD,9,0))</f>
        <v>4.7708333333333332E-2</v>
      </c>
      <c r="G2">
        <f t="shared" ref="G2:G33" si="3">VLOOKUP(A2,effD,4,0)</f>
        <v>98</v>
      </c>
      <c r="H2" s="11">
        <f t="shared" ref="H2:H33" si="4">VLOOKUP(A2,effD,6,0)</f>
        <v>0.55697138822580095</v>
      </c>
    </row>
    <row r="3" spans="1:8">
      <c r="A3" s="5" t="s">
        <v>855</v>
      </c>
      <c r="B3" s="5">
        <v>1008513</v>
      </c>
      <c r="C3" t="s">
        <v>1011</v>
      </c>
      <c r="D3" s="17">
        <f t="shared" si="0"/>
        <v>0.34416666666666668</v>
      </c>
      <c r="E3" s="17">
        <f t="shared" si="1"/>
        <v>0.20733796296296297</v>
      </c>
      <c r="F3" s="17">
        <f t="shared" si="2"/>
        <v>4.8599537037037038E-2</v>
      </c>
      <c r="G3">
        <f t="shared" si="3"/>
        <v>23</v>
      </c>
      <c r="H3" s="11">
        <f t="shared" si="4"/>
        <v>0.58027306967984904</v>
      </c>
    </row>
    <row r="4" spans="1:8">
      <c r="A4" s="5" t="s">
        <v>856</v>
      </c>
      <c r="B4" s="5">
        <v>1008514</v>
      </c>
      <c r="C4" t="s">
        <v>1012</v>
      </c>
      <c r="D4" s="17">
        <f t="shared" si="0"/>
        <v>0.34510416666666666</v>
      </c>
      <c r="E4" s="17">
        <f t="shared" si="1"/>
        <v>0.20109953703703703</v>
      </c>
      <c r="F4" s="17">
        <f t="shared" si="2"/>
        <v>5.1319444444444445E-2</v>
      </c>
      <c r="G4">
        <f t="shared" si="3"/>
        <v>28</v>
      </c>
      <c r="H4" s="11">
        <f t="shared" si="4"/>
        <v>0.51708756749505302</v>
      </c>
    </row>
    <row r="5" spans="1:8">
      <c r="A5" s="5" t="s">
        <v>857</v>
      </c>
      <c r="B5" s="5">
        <v>1008515</v>
      </c>
      <c r="C5" t="s">
        <v>1013</v>
      </c>
      <c r="D5" s="17">
        <f t="shared" si="0"/>
        <v>0.34023148148148147</v>
      </c>
      <c r="E5" s="17">
        <f t="shared" si="1"/>
        <v>0.17884259259259258</v>
      </c>
      <c r="F5" s="17">
        <f t="shared" si="2"/>
        <v>9.6550925925925929E-2</v>
      </c>
      <c r="G5">
        <f t="shared" si="3"/>
        <v>29</v>
      </c>
      <c r="H5" s="11">
        <f t="shared" si="4"/>
        <v>0.47720778337188702</v>
      </c>
    </row>
    <row r="6" spans="1:8">
      <c r="A6" s="5" t="s">
        <v>858</v>
      </c>
      <c r="B6" s="5">
        <v>1008516</v>
      </c>
      <c r="C6" t="s">
        <v>1014</v>
      </c>
      <c r="D6" s="17">
        <f t="shared" si="0"/>
        <v>0.30603009259259262</v>
      </c>
      <c r="E6" s="17">
        <f t="shared" si="1"/>
        <v>0.13870370370370369</v>
      </c>
      <c r="F6" s="17">
        <f t="shared" si="2"/>
        <v>0.12844907407407408</v>
      </c>
      <c r="G6">
        <f t="shared" si="3"/>
        <v>93</v>
      </c>
      <c r="H6" s="11">
        <f t="shared" si="4"/>
        <v>0.43288831738587802</v>
      </c>
    </row>
    <row r="7" spans="1:8">
      <c r="A7" s="5" t="s">
        <v>859</v>
      </c>
      <c r="B7" s="5">
        <v>1008517</v>
      </c>
      <c r="C7" t="s">
        <v>1015</v>
      </c>
      <c r="D7" s="17">
        <f t="shared" si="0"/>
        <v>0.2084375</v>
      </c>
      <c r="E7" s="17">
        <f t="shared" si="1"/>
        <v>0.15369212962962964</v>
      </c>
      <c r="F7" s="17">
        <f t="shared" si="2"/>
        <v>1.8831018518518518E-2</v>
      </c>
      <c r="G7">
        <f t="shared" si="3"/>
        <v>92</v>
      </c>
      <c r="H7" s="11">
        <f t="shared" si="4"/>
        <v>0.65495030262646503</v>
      </c>
    </row>
    <row r="8" spans="1:8">
      <c r="A8" s="5" t="s">
        <v>860</v>
      </c>
      <c r="B8" s="5">
        <v>1008518</v>
      </c>
      <c r="C8" t="s">
        <v>1016</v>
      </c>
      <c r="D8" s="17">
        <f t="shared" si="0"/>
        <v>0.34488425925925925</v>
      </c>
      <c r="E8" s="17">
        <f t="shared" si="1"/>
        <v>0.17553240740740741</v>
      </c>
      <c r="F8" s="17">
        <f t="shared" si="2"/>
        <v>0.11229166666666666</v>
      </c>
      <c r="G8">
        <f t="shared" si="3"/>
        <v>26</v>
      </c>
      <c r="H8" s="11">
        <f t="shared" si="4"/>
        <v>0.49476474931203401</v>
      </c>
    </row>
    <row r="9" spans="1:8">
      <c r="A9" s="5" t="s">
        <v>861</v>
      </c>
      <c r="B9" s="5">
        <v>1008519</v>
      </c>
      <c r="C9" t="s">
        <v>1017</v>
      </c>
      <c r="D9" s="17">
        <f t="shared" si="0"/>
        <v>0.38646990740740739</v>
      </c>
      <c r="E9" s="17">
        <f t="shared" si="1"/>
        <v>0.24453703703703702</v>
      </c>
      <c r="F9" s="17">
        <f t="shared" si="2"/>
        <v>5.0810185185185187E-2</v>
      </c>
      <c r="G9">
        <f t="shared" si="3"/>
        <v>90</v>
      </c>
      <c r="H9" s="11">
        <f t="shared" si="4"/>
        <v>0.55128627474469205</v>
      </c>
    </row>
    <row r="10" spans="1:8">
      <c r="A10" s="5" t="s">
        <v>862</v>
      </c>
      <c r="B10" s="5">
        <v>1008520</v>
      </c>
      <c r="C10" t="s">
        <v>1018</v>
      </c>
      <c r="D10" s="17">
        <f t="shared" si="0"/>
        <v>0.34256944444444443</v>
      </c>
      <c r="E10" s="17">
        <f t="shared" si="1"/>
        <v>0.20311342592592593</v>
      </c>
      <c r="F10" s="17">
        <f t="shared" si="2"/>
        <v>4.628472222222222E-2</v>
      </c>
      <c r="G10">
        <f t="shared" si="3"/>
        <v>89</v>
      </c>
      <c r="H10" s="11">
        <f t="shared" si="4"/>
        <v>0.55206432867085597</v>
      </c>
    </row>
    <row r="11" spans="1:8">
      <c r="A11" s="5" t="s">
        <v>863</v>
      </c>
      <c r="B11" s="5">
        <v>1008521</v>
      </c>
      <c r="C11" t="s">
        <v>1019</v>
      </c>
      <c r="D11" s="17">
        <f t="shared" si="0"/>
        <v>0.34769675925925925</v>
      </c>
      <c r="E11" s="17">
        <f t="shared" si="1"/>
        <v>0.20702546296296295</v>
      </c>
      <c r="F11" s="17">
        <f t="shared" si="2"/>
        <v>4.8576388888888891E-2</v>
      </c>
      <c r="G11">
        <f t="shared" si="3"/>
        <v>54</v>
      </c>
      <c r="H11" s="11">
        <f t="shared" si="4"/>
        <v>0.56868945774108703</v>
      </c>
    </row>
    <row r="12" spans="1:8">
      <c r="A12" s="5" t="s">
        <v>864</v>
      </c>
      <c r="B12" s="5">
        <v>1008522</v>
      </c>
      <c r="C12" t="s">
        <v>1020</v>
      </c>
      <c r="D12" s="17">
        <f t="shared" si="0"/>
        <v>0.34068287037037037</v>
      </c>
      <c r="E12" s="17">
        <f t="shared" si="1"/>
        <v>0.20518518518518519</v>
      </c>
      <c r="F12" s="17">
        <f t="shared" si="2"/>
        <v>4.809027777777778E-2</v>
      </c>
      <c r="G12">
        <f t="shared" si="3"/>
        <v>87</v>
      </c>
      <c r="H12" s="11">
        <f t="shared" si="4"/>
        <v>0.56035332087650802</v>
      </c>
    </row>
    <row r="13" spans="1:8">
      <c r="A13" s="5" t="s">
        <v>865</v>
      </c>
      <c r="B13" s="5">
        <v>1008523</v>
      </c>
      <c r="C13" t="s">
        <v>1021</v>
      </c>
      <c r="D13" s="17">
        <f t="shared" si="0"/>
        <v>0.33622685185185186</v>
      </c>
      <c r="E13" s="17">
        <f t="shared" si="1"/>
        <v>0.15812499999999999</v>
      </c>
      <c r="F13" s="17">
        <f t="shared" si="2"/>
        <v>0.12590277777777778</v>
      </c>
      <c r="G13">
        <f t="shared" si="3"/>
        <v>65</v>
      </c>
      <c r="H13" s="11">
        <f t="shared" si="4"/>
        <v>0.41552495697073999</v>
      </c>
    </row>
    <row r="14" spans="1:8">
      <c r="A14" s="5" t="s">
        <v>866</v>
      </c>
      <c r="B14" s="5">
        <v>1008524</v>
      </c>
      <c r="C14" t="s">
        <v>1022</v>
      </c>
      <c r="D14" s="17">
        <f t="shared" si="0"/>
        <v>0.34349537037037037</v>
      </c>
      <c r="E14" s="17">
        <f t="shared" si="1"/>
        <v>0.19699074074074074</v>
      </c>
      <c r="F14" s="17">
        <f t="shared" si="2"/>
        <v>8.7974537037037032E-2</v>
      </c>
      <c r="G14">
        <f t="shared" si="3"/>
        <v>85</v>
      </c>
      <c r="H14" s="11">
        <f t="shared" si="4"/>
        <v>0.50026955994339195</v>
      </c>
    </row>
    <row r="15" spans="1:8">
      <c r="A15" s="5" t="s">
        <v>867</v>
      </c>
      <c r="B15" s="5">
        <v>1008525</v>
      </c>
      <c r="C15" t="s">
        <v>1023</v>
      </c>
      <c r="D15" s="17">
        <f t="shared" si="0"/>
        <v>0.33321759259259259</v>
      </c>
      <c r="E15" s="17">
        <f t="shared" si="1"/>
        <v>0.19475694444444444</v>
      </c>
      <c r="F15" s="17">
        <f t="shared" si="2"/>
        <v>4.9004629629629627E-2</v>
      </c>
      <c r="G15">
        <f t="shared" si="3"/>
        <v>65</v>
      </c>
      <c r="H15" s="11">
        <f t="shared" si="4"/>
        <v>0.51396318166029897</v>
      </c>
    </row>
    <row r="16" spans="1:8">
      <c r="A16" s="5" t="s">
        <v>868</v>
      </c>
      <c r="B16" s="5">
        <v>1008526</v>
      </c>
      <c r="C16" t="s">
        <v>1024</v>
      </c>
      <c r="D16" s="17">
        <f t="shared" si="0"/>
        <v>0.34512731481481479</v>
      </c>
      <c r="E16" s="17">
        <f t="shared" si="1"/>
        <v>0.2066550925925926</v>
      </c>
      <c r="F16" s="17">
        <f t="shared" si="2"/>
        <v>5.3460648148148146E-2</v>
      </c>
      <c r="G16">
        <f t="shared" si="3"/>
        <v>83</v>
      </c>
      <c r="H16" s="11">
        <f t="shared" si="4"/>
        <v>0.510580502364264</v>
      </c>
    </row>
    <row r="17" spans="1:8">
      <c r="A17" s="5" t="s">
        <v>869</v>
      </c>
      <c r="B17" s="5">
        <v>1008527</v>
      </c>
      <c r="C17" t="s">
        <v>1003</v>
      </c>
      <c r="D17" s="17">
        <f t="shared" si="0"/>
        <v>0.34531250000000002</v>
      </c>
      <c r="E17" s="17">
        <f t="shared" si="1"/>
        <v>0.17390046296296297</v>
      </c>
      <c r="F17" s="17">
        <f t="shared" si="2"/>
        <v>0.10023148148148148</v>
      </c>
      <c r="G17">
        <f t="shared" si="3"/>
        <v>82</v>
      </c>
      <c r="H17" s="11">
        <f t="shared" si="4"/>
        <v>0.48292274174627098</v>
      </c>
    </row>
    <row r="18" spans="1:8">
      <c r="A18" s="5" t="s">
        <v>870</v>
      </c>
      <c r="B18" s="5">
        <v>1008528</v>
      </c>
      <c r="C18" t="s">
        <v>1003</v>
      </c>
      <c r="D18" s="17">
        <f t="shared" si="0"/>
        <v>0.32848379629629632</v>
      </c>
      <c r="E18" s="17">
        <f t="shared" si="1"/>
        <v>0.1973611111111111</v>
      </c>
      <c r="F18" s="17">
        <f t="shared" si="2"/>
        <v>3.9224537037037037E-2</v>
      </c>
      <c r="G18">
        <f t="shared" si="3"/>
        <v>81</v>
      </c>
      <c r="H18" s="11">
        <f t="shared" si="4"/>
        <v>0.57362319861879396</v>
      </c>
    </row>
    <row r="19" spans="1:8">
      <c r="A19" s="5" t="s">
        <v>871</v>
      </c>
      <c r="B19" s="5">
        <v>1008529</v>
      </c>
      <c r="C19" t="s">
        <v>1003</v>
      </c>
      <c r="D19" s="17">
        <f t="shared" si="0"/>
        <v>0.34494212962962961</v>
      </c>
      <c r="E19" s="17">
        <f t="shared" si="1"/>
        <v>0.20702546296296295</v>
      </c>
      <c r="F19" s="17">
        <f t="shared" si="2"/>
        <v>4.8692129629629627E-2</v>
      </c>
      <c r="G19">
        <f t="shared" si="3"/>
        <v>80</v>
      </c>
      <c r="H19" s="11">
        <f t="shared" si="4"/>
        <v>0.56430560681810604</v>
      </c>
    </row>
    <row r="20" spans="1:8">
      <c r="A20" s="5" t="s">
        <v>872</v>
      </c>
      <c r="B20" s="5">
        <v>1008530</v>
      </c>
      <c r="C20" t="s">
        <v>1003</v>
      </c>
      <c r="D20" s="17">
        <f t="shared" si="0"/>
        <v>0.34810185185185183</v>
      </c>
      <c r="E20" s="17">
        <f t="shared" si="1"/>
        <v>0.18267361111111111</v>
      </c>
      <c r="F20" s="17">
        <f t="shared" si="2"/>
        <v>0.11122685185185185</v>
      </c>
      <c r="G20">
        <f t="shared" si="3"/>
        <v>79</v>
      </c>
      <c r="H20" s="11">
        <f t="shared" si="4"/>
        <v>0.46974331693044302</v>
      </c>
    </row>
    <row r="21" spans="1:8">
      <c r="A21" s="5" t="s">
        <v>873</v>
      </c>
      <c r="B21" s="5">
        <v>1008531</v>
      </c>
      <c r="C21" t="s">
        <v>1025</v>
      </c>
      <c r="D21" s="17">
        <f t="shared" si="0"/>
        <v>0.34574074074074074</v>
      </c>
      <c r="E21" s="17">
        <f t="shared" si="1"/>
        <v>0.20710648148148147</v>
      </c>
      <c r="F21" s="17">
        <f t="shared" si="2"/>
        <v>5.1736111111111108E-2</v>
      </c>
      <c r="G21">
        <f t="shared" si="3"/>
        <v>78</v>
      </c>
      <c r="H21" s="11">
        <f t="shared" si="4"/>
        <v>0.57495313336904097</v>
      </c>
    </row>
    <row r="22" spans="1:8">
      <c r="A22" s="5" t="s">
        <v>874</v>
      </c>
      <c r="B22" s="5">
        <v>1008532</v>
      </c>
      <c r="C22" t="s">
        <v>1026</v>
      </c>
      <c r="D22" s="17">
        <f t="shared" si="0"/>
        <v>0.34283564814814815</v>
      </c>
      <c r="E22" s="17">
        <f t="shared" si="1"/>
        <v>0.20393518518518519</v>
      </c>
      <c r="F22" s="17">
        <f t="shared" si="2"/>
        <v>4.6516203703703705E-2</v>
      </c>
      <c r="G22">
        <f t="shared" si="3"/>
        <v>77</v>
      </c>
      <c r="H22" s="11">
        <f t="shared" si="4"/>
        <v>0.57945376590932096</v>
      </c>
    </row>
    <row r="23" spans="1:8">
      <c r="A23" s="5" t="s">
        <v>875</v>
      </c>
      <c r="B23" s="5">
        <v>1008533</v>
      </c>
      <c r="C23" t="s">
        <v>1027</v>
      </c>
      <c r="D23" s="17">
        <f t="shared" si="0"/>
        <v>0.34553240740740743</v>
      </c>
      <c r="E23" s="17">
        <f t="shared" si="1"/>
        <v>0.20821759259259259</v>
      </c>
      <c r="F23" s="17">
        <f t="shared" si="2"/>
        <v>4.8460648148148149E-2</v>
      </c>
      <c r="G23">
        <f t="shared" si="3"/>
        <v>76</v>
      </c>
      <c r="H23" s="11">
        <f t="shared" si="4"/>
        <v>0.588296375695049</v>
      </c>
    </row>
    <row r="24" spans="1:8">
      <c r="A24" s="5" t="s">
        <v>876</v>
      </c>
      <c r="B24" s="5">
        <v>1008534</v>
      </c>
      <c r="C24" t="s">
        <v>1028</v>
      </c>
      <c r="D24" s="17">
        <f t="shared" si="0"/>
        <v>0.32064814814814813</v>
      </c>
      <c r="E24" s="17">
        <f t="shared" si="1"/>
        <v>0.17288194444444444</v>
      </c>
      <c r="F24" s="17">
        <f t="shared" si="2"/>
        <v>9.0486111111111114E-2</v>
      </c>
      <c r="G24">
        <f t="shared" si="3"/>
        <v>75</v>
      </c>
      <c r="H24" s="11">
        <f t="shared" si="4"/>
        <v>0.46267686976609901</v>
      </c>
    </row>
    <row r="25" spans="1:8">
      <c r="A25" s="5" t="s">
        <v>877</v>
      </c>
      <c r="B25" s="5">
        <v>1008535</v>
      </c>
      <c r="C25" t="s">
        <v>1029</v>
      </c>
      <c r="D25" s="17">
        <f t="shared" si="0"/>
        <v>0.34032407407407406</v>
      </c>
      <c r="E25" s="17">
        <f t="shared" si="1"/>
        <v>0.17644675925925926</v>
      </c>
      <c r="F25" s="17">
        <f t="shared" si="2"/>
        <v>9.1168981481481476E-2</v>
      </c>
      <c r="G25">
        <f t="shared" si="3"/>
        <v>74</v>
      </c>
      <c r="H25" s="11">
        <f t="shared" si="4"/>
        <v>0.478030199972793</v>
      </c>
    </row>
    <row r="26" spans="1:8">
      <c r="A26" s="5" t="s">
        <v>878</v>
      </c>
      <c r="B26" s="5">
        <v>1008536</v>
      </c>
      <c r="C26" t="s">
        <v>1030</v>
      </c>
      <c r="D26" s="17">
        <f t="shared" si="0"/>
        <v>0.34328703703703706</v>
      </c>
      <c r="E26" s="17">
        <f t="shared" si="1"/>
        <v>0.22703703703703704</v>
      </c>
      <c r="F26" s="17">
        <f t="shared" si="2"/>
        <v>5.0625000000000003E-2</v>
      </c>
      <c r="G26">
        <f t="shared" si="3"/>
        <v>73</v>
      </c>
      <c r="H26" s="11">
        <f t="shared" si="4"/>
        <v>0.59983142279163904</v>
      </c>
    </row>
    <row r="27" spans="1:8">
      <c r="A27" s="5" t="s">
        <v>879</v>
      </c>
      <c r="B27" s="5">
        <v>1008537</v>
      </c>
      <c r="C27" t="s">
        <v>1031</v>
      </c>
      <c r="D27" s="17">
        <f t="shared" si="0"/>
        <v>0.31663194444444442</v>
      </c>
      <c r="E27" s="17">
        <f t="shared" si="1"/>
        <v>0.21199074074074073</v>
      </c>
      <c r="F27" s="17">
        <f t="shared" si="2"/>
        <v>2.1180555555555557E-2</v>
      </c>
      <c r="G27">
        <f t="shared" si="3"/>
        <v>72</v>
      </c>
      <c r="H27" s="11">
        <f t="shared" si="4"/>
        <v>0.65029060203969702</v>
      </c>
    </row>
    <row r="28" spans="1:8">
      <c r="A28" s="5" t="s">
        <v>880</v>
      </c>
      <c r="B28" s="5">
        <v>1008538</v>
      </c>
      <c r="C28" t="s">
        <v>1032</v>
      </c>
      <c r="D28" s="17">
        <f t="shared" si="0"/>
        <v>0.34512731481481479</v>
      </c>
      <c r="E28" s="17">
        <f t="shared" si="1"/>
        <v>0.20607638888888888</v>
      </c>
      <c r="F28" s="17">
        <f t="shared" si="2"/>
        <v>4.9768518518518517E-2</v>
      </c>
      <c r="G28">
        <f t="shared" si="3"/>
        <v>71</v>
      </c>
      <c r="H28" s="11">
        <f t="shared" si="4"/>
        <v>0.55001844461584903</v>
      </c>
    </row>
    <row r="29" spans="1:8">
      <c r="A29" s="5" t="s">
        <v>881</v>
      </c>
      <c r="B29" s="5">
        <v>1008539</v>
      </c>
      <c r="C29" t="s">
        <v>1033</v>
      </c>
      <c r="D29" s="17">
        <f t="shared" si="0"/>
        <v>0.34297453703703706</v>
      </c>
      <c r="E29" s="17">
        <f t="shared" si="1"/>
        <v>0.21273148148148149</v>
      </c>
      <c r="F29" s="17">
        <f t="shared" si="2"/>
        <v>4.8645833333333333E-2</v>
      </c>
      <c r="G29">
        <f t="shared" si="3"/>
        <v>70</v>
      </c>
      <c r="H29" s="11">
        <f t="shared" si="4"/>
        <v>0.51334660682347399</v>
      </c>
    </row>
    <row r="30" spans="1:8">
      <c r="A30" s="5" t="s">
        <v>882</v>
      </c>
      <c r="B30" s="5">
        <v>1008540</v>
      </c>
      <c r="C30" t="s">
        <v>1034</v>
      </c>
      <c r="D30" s="17">
        <f t="shared" si="0"/>
        <v>0.34387731481481482</v>
      </c>
      <c r="E30" s="17">
        <f t="shared" si="1"/>
        <v>0.17480324074074075</v>
      </c>
      <c r="F30" s="17">
        <f t="shared" si="2"/>
        <v>0.11449074074074074</v>
      </c>
      <c r="G30">
        <f t="shared" si="3"/>
        <v>69</v>
      </c>
      <c r="H30" s="11">
        <f t="shared" si="4"/>
        <v>0.43603379219817601</v>
      </c>
    </row>
    <row r="31" spans="1:8">
      <c r="A31" s="5" t="s">
        <v>883</v>
      </c>
      <c r="B31" s="5">
        <v>1008541</v>
      </c>
      <c r="C31" t="s">
        <v>1035</v>
      </c>
      <c r="D31" s="17">
        <f t="shared" si="0"/>
        <v>0.31069444444444444</v>
      </c>
      <c r="E31" s="17">
        <f t="shared" si="1"/>
        <v>0.1912962962962963</v>
      </c>
      <c r="F31" s="17">
        <f t="shared" si="2"/>
        <v>5.5787037037037038E-2</v>
      </c>
      <c r="G31">
        <f t="shared" si="3"/>
        <v>68</v>
      </c>
      <c r="H31" s="11">
        <f t="shared" si="4"/>
        <v>0.52954105200417201</v>
      </c>
    </row>
    <row r="32" spans="1:8">
      <c r="A32" s="5" t="s">
        <v>884</v>
      </c>
      <c r="B32" s="5">
        <v>1008542</v>
      </c>
      <c r="C32" t="s">
        <v>1036</v>
      </c>
      <c r="D32" s="17">
        <f t="shared" si="0"/>
        <v>0.33329861111111109</v>
      </c>
      <c r="E32" s="17">
        <f t="shared" si="1"/>
        <v>0.21824074074074074</v>
      </c>
      <c r="F32" s="17">
        <f t="shared" si="2"/>
        <v>4.809027777777778E-2</v>
      </c>
      <c r="G32">
        <f t="shared" si="3"/>
        <v>67</v>
      </c>
      <c r="H32" s="11">
        <f t="shared" si="4"/>
        <v>0.56446852102649603</v>
      </c>
    </row>
    <row r="33" spans="1:8">
      <c r="A33" s="5" t="s">
        <v>885</v>
      </c>
      <c r="B33" s="5">
        <v>1008543</v>
      </c>
      <c r="C33" t="s">
        <v>1037</v>
      </c>
      <c r="D33" s="17">
        <f t="shared" si="0"/>
        <v>0.34564814814814815</v>
      </c>
      <c r="E33" s="17">
        <f t="shared" si="1"/>
        <v>0.21184027777777778</v>
      </c>
      <c r="F33" s="17">
        <f t="shared" si="2"/>
        <v>8.9745370370370364E-2</v>
      </c>
      <c r="G33">
        <f t="shared" si="3"/>
        <v>66</v>
      </c>
      <c r="H33" s="11">
        <f t="shared" si="4"/>
        <v>0.49789043664612898</v>
      </c>
    </row>
    <row r="34" spans="1:8">
      <c r="A34" s="5" t="s">
        <v>886</v>
      </c>
      <c r="B34" s="5">
        <v>1008544</v>
      </c>
      <c r="C34" t="s">
        <v>1038</v>
      </c>
      <c r="D34" s="17">
        <f t="shared" ref="D34:D65" si="5">TIMEVALUE(VLOOKUP(A34,effD,2,0))</f>
        <v>0.34664351851851855</v>
      </c>
      <c r="E34" s="17">
        <f t="shared" ref="E34:E65" si="6">TIMEVALUE(VLOOKUP(A34,effD,3,0))</f>
        <v>0.20781250000000001</v>
      </c>
      <c r="F34" s="17">
        <f t="shared" ref="F34:F65" si="7">TIMEVALUE(VLOOKUP(A34,breakD,9,0))</f>
        <v>4.7951388888888891E-2</v>
      </c>
      <c r="G34">
        <f t="shared" ref="G34:G65" si="8">VLOOKUP(A34,effD,4,0)</f>
        <v>65</v>
      </c>
      <c r="H34" s="11">
        <f t="shared" ref="H34:H65" si="9">VLOOKUP(A34,effD,6,0)</f>
        <v>0.56270450751252099</v>
      </c>
    </row>
    <row r="35" spans="1:8">
      <c r="A35" s="5" t="s">
        <v>887</v>
      </c>
      <c r="B35" s="5">
        <v>1008545</v>
      </c>
      <c r="C35" t="s">
        <v>1039</v>
      </c>
      <c r="D35" s="17">
        <f t="shared" si="5"/>
        <v>0.34471064814814817</v>
      </c>
      <c r="E35" s="17">
        <f t="shared" si="6"/>
        <v>0.20981481481481482</v>
      </c>
      <c r="F35" s="17">
        <f t="shared" si="7"/>
        <v>4.8564814814814818E-2</v>
      </c>
      <c r="G35">
        <f t="shared" si="8"/>
        <v>64</v>
      </c>
      <c r="H35" s="11">
        <f t="shared" si="9"/>
        <v>0.57680556021891705</v>
      </c>
    </row>
    <row r="36" spans="1:8">
      <c r="A36" s="5" t="s">
        <v>888</v>
      </c>
      <c r="B36" s="5">
        <v>1008546</v>
      </c>
      <c r="C36" t="s">
        <v>1040</v>
      </c>
      <c r="D36" s="17">
        <f t="shared" si="5"/>
        <v>0.31923611111111111</v>
      </c>
      <c r="E36" s="17">
        <f t="shared" si="6"/>
        <v>0.18953703703703703</v>
      </c>
      <c r="F36" s="17">
        <f t="shared" si="7"/>
        <v>6.1215277777777778E-2</v>
      </c>
      <c r="G36">
        <f t="shared" si="8"/>
        <v>63</v>
      </c>
      <c r="H36" s="11">
        <f t="shared" si="9"/>
        <v>0.55728373576970502</v>
      </c>
    </row>
    <row r="37" spans="1:8">
      <c r="A37" s="5" t="s">
        <v>889</v>
      </c>
      <c r="B37" s="5">
        <v>1008547</v>
      </c>
      <c r="C37" t="s">
        <v>1041</v>
      </c>
      <c r="D37" s="17">
        <f t="shared" si="5"/>
        <v>0.34128472222222223</v>
      </c>
      <c r="E37" s="17">
        <f t="shared" si="6"/>
        <v>0.17200231481481482</v>
      </c>
      <c r="F37" s="17">
        <f t="shared" si="7"/>
        <v>0.10777777777777778</v>
      </c>
      <c r="G37">
        <f t="shared" si="8"/>
        <v>62</v>
      </c>
      <c r="H37" s="11">
        <f t="shared" si="9"/>
        <v>0.47590463594126198</v>
      </c>
    </row>
    <row r="38" spans="1:8">
      <c r="A38" s="5" t="s">
        <v>890</v>
      </c>
      <c r="B38" s="5">
        <v>1008548</v>
      </c>
      <c r="C38" t="s">
        <v>1042</v>
      </c>
      <c r="D38" s="17">
        <f t="shared" si="5"/>
        <v>0.34012731481481484</v>
      </c>
      <c r="E38" s="17">
        <f t="shared" si="6"/>
        <v>0.20243055555555556</v>
      </c>
      <c r="F38" s="17">
        <f t="shared" si="7"/>
        <v>4.8333333333333332E-2</v>
      </c>
      <c r="G38">
        <f t="shared" si="8"/>
        <v>61</v>
      </c>
      <c r="H38" s="11">
        <f t="shared" si="9"/>
        <v>0.55636846224520997</v>
      </c>
    </row>
    <row r="39" spans="1:8">
      <c r="A39" s="5" t="s">
        <v>891</v>
      </c>
      <c r="B39" s="5">
        <v>1008549</v>
      </c>
      <c r="C39" t="s">
        <v>1043</v>
      </c>
      <c r="D39" s="17">
        <f t="shared" si="5"/>
        <v>0.3442824074074074</v>
      </c>
      <c r="E39" s="17">
        <f t="shared" si="6"/>
        <v>0.20569444444444446</v>
      </c>
      <c r="F39" s="17">
        <f t="shared" si="7"/>
        <v>4.912037037037037E-2</v>
      </c>
      <c r="G39">
        <f t="shared" si="8"/>
        <v>60</v>
      </c>
      <c r="H39" s="11">
        <f t="shared" si="9"/>
        <v>0.527970147246689</v>
      </c>
    </row>
    <row r="40" spans="1:8">
      <c r="A40" s="5" t="s">
        <v>892</v>
      </c>
      <c r="B40" s="5">
        <v>1008550</v>
      </c>
      <c r="C40" t="s">
        <v>1044</v>
      </c>
      <c r="D40" s="17">
        <f t="shared" si="5"/>
        <v>0.3439699074074074</v>
      </c>
      <c r="E40" s="17">
        <f t="shared" si="6"/>
        <v>0.20620370370370369</v>
      </c>
      <c r="F40" s="17">
        <f t="shared" si="7"/>
        <v>4.8923611111111112E-2</v>
      </c>
      <c r="G40">
        <f t="shared" si="8"/>
        <v>59</v>
      </c>
      <c r="H40" s="11">
        <f t="shared" si="9"/>
        <v>0.565025741108382</v>
      </c>
    </row>
    <row r="41" spans="1:8">
      <c r="A41" s="5" t="s">
        <v>893</v>
      </c>
      <c r="B41" s="5">
        <v>1008551</v>
      </c>
      <c r="C41" t="s">
        <v>1045</v>
      </c>
      <c r="D41" s="17">
        <f t="shared" si="5"/>
        <v>0.34541666666666665</v>
      </c>
      <c r="E41" s="17">
        <f t="shared" si="6"/>
        <v>0.22590277777777779</v>
      </c>
      <c r="F41" s="17">
        <f t="shared" si="7"/>
        <v>4.8750000000000002E-2</v>
      </c>
      <c r="G41">
        <f t="shared" si="8"/>
        <v>58</v>
      </c>
      <c r="H41" s="11">
        <f t="shared" si="9"/>
        <v>0.48579278917035301</v>
      </c>
    </row>
    <row r="42" spans="1:8">
      <c r="A42" s="5" t="s">
        <v>894</v>
      </c>
      <c r="B42" s="5">
        <v>1008552</v>
      </c>
      <c r="C42" t="s">
        <v>1046</v>
      </c>
      <c r="D42" s="17">
        <f t="shared" si="5"/>
        <v>0.34445601851851854</v>
      </c>
      <c r="E42" s="17">
        <f t="shared" si="6"/>
        <v>0.20725694444444445</v>
      </c>
      <c r="F42" s="17">
        <f t="shared" si="7"/>
        <v>4.6990740740740743E-2</v>
      </c>
      <c r="G42">
        <f t="shared" si="8"/>
        <v>57</v>
      </c>
      <c r="H42" s="11">
        <f t="shared" si="9"/>
        <v>0.572258996673499</v>
      </c>
    </row>
    <row r="43" spans="1:8">
      <c r="A43" s="5" t="s">
        <v>895</v>
      </c>
      <c r="B43" s="5">
        <v>1008553</v>
      </c>
      <c r="C43" t="s">
        <v>1047</v>
      </c>
      <c r="D43" s="17">
        <f t="shared" si="5"/>
        <v>0.3334259259259259</v>
      </c>
      <c r="E43" s="17">
        <f t="shared" si="6"/>
        <v>0.16271990740740741</v>
      </c>
      <c r="F43" s="17">
        <f t="shared" si="7"/>
        <v>0.10062500000000001</v>
      </c>
      <c r="G43">
        <f t="shared" si="8"/>
        <v>56</v>
      </c>
      <c r="H43" s="11">
        <f t="shared" si="9"/>
        <v>0.46542627048042201</v>
      </c>
    </row>
    <row r="44" spans="1:8">
      <c r="A44" s="5" t="s">
        <v>896</v>
      </c>
      <c r="B44" s="5">
        <v>1008554</v>
      </c>
      <c r="C44" t="s">
        <v>1048</v>
      </c>
      <c r="D44" s="17">
        <f t="shared" si="5"/>
        <v>0.20945601851851853</v>
      </c>
      <c r="E44" s="17">
        <f t="shared" si="6"/>
        <v>0.13993055555555556</v>
      </c>
      <c r="F44" s="17">
        <f t="shared" si="7"/>
        <v>1.0416666666666666E-2</v>
      </c>
      <c r="G44">
        <f t="shared" si="8"/>
        <v>55</v>
      </c>
      <c r="H44" s="11">
        <f t="shared" si="9"/>
        <v>0.64380836602751801</v>
      </c>
    </row>
    <row r="45" spans="1:8">
      <c r="A45" s="5" t="s">
        <v>897</v>
      </c>
      <c r="B45" s="5">
        <v>1008555</v>
      </c>
      <c r="C45" t="s">
        <v>1049</v>
      </c>
      <c r="D45" s="17">
        <f t="shared" si="5"/>
        <v>0.35192129629629632</v>
      </c>
      <c r="E45" s="17">
        <f t="shared" si="6"/>
        <v>0.22140046296296295</v>
      </c>
      <c r="F45" s="17">
        <f t="shared" si="7"/>
        <v>4.8437500000000001E-2</v>
      </c>
      <c r="G45">
        <f t="shared" si="8"/>
        <v>54</v>
      </c>
      <c r="H45" s="11">
        <f t="shared" si="9"/>
        <v>0.57347234098533195</v>
      </c>
    </row>
    <row r="46" spans="1:8">
      <c r="A46" s="5" t="s">
        <v>898</v>
      </c>
      <c r="B46" s="5">
        <v>1008556</v>
      </c>
      <c r="C46" t="s">
        <v>1050</v>
      </c>
      <c r="D46" s="17">
        <f t="shared" si="5"/>
        <v>0.32876157407407408</v>
      </c>
      <c r="E46" s="17">
        <f t="shared" si="6"/>
        <v>0.22660879629629629</v>
      </c>
      <c r="F46" s="17">
        <f t="shared" si="7"/>
        <v>3.9108796296296294E-2</v>
      </c>
      <c r="G46">
        <f t="shared" si="8"/>
        <v>53</v>
      </c>
      <c r="H46" s="11">
        <f t="shared" si="9"/>
        <v>0.64717479317021698</v>
      </c>
    </row>
    <row r="47" spans="1:8">
      <c r="A47" s="5" t="s">
        <v>899</v>
      </c>
      <c r="B47" s="5">
        <v>1008557</v>
      </c>
      <c r="C47" t="s">
        <v>1051</v>
      </c>
      <c r="D47" s="17">
        <f t="shared" si="5"/>
        <v>0.33435185185185184</v>
      </c>
      <c r="E47" s="17">
        <f t="shared" si="6"/>
        <v>0.17586805555555557</v>
      </c>
      <c r="F47" s="17">
        <f t="shared" si="7"/>
        <v>9.0555555555555556E-2</v>
      </c>
      <c r="G47">
        <f t="shared" si="8"/>
        <v>52</v>
      </c>
      <c r="H47" s="11">
        <f t="shared" si="9"/>
        <v>0.50443090556632497</v>
      </c>
    </row>
    <row r="48" spans="1:8">
      <c r="A48" s="5" t="s">
        <v>900</v>
      </c>
      <c r="B48" s="5">
        <v>1008558</v>
      </c>
      <c r="C48" t="s">
        <v>1052</v>
      </c>
      <c r="D48" s="17">
        <f t="shared" si="5"/>
        <v>0.34831018518518519</v>
      </c>
      <c r="E48" s="17">
        <f t="shared" si="6"/>
        <v>0.21436342592592592</v>
      </c>
      <c r="F48" s="17">
        <f t="shared" si="7"/>
        <v>4.8240740740740744E-2</v>
      </c>
      <c r="G48">
        <f t="shared" si="8"/>
        <v>51</v>
      </c>
      <c r="H48" s="11">
        <f t="shared" si="9"/>
        <v>0.55280122283511701</v>
      </c>
    </row>
    <row r="49" spans="1:8">
      <c r="A49" s="5" t="s">
        <v>901</v>
      </c>
      <c r="B49" s="5">
        <v>1008559</v>
      </c>
      <c r="C49" t="s">
        <v>1053</v>
      </c>
      <c r="D49" s="17">
        <f t="shared" si="5"/>
        <v>0.34407407407407409</v>
      </c>
      <c r="E49" s="17">
        <f t="shared" si="6"/>
        <v>0.19798611111111111</v>
      </c>
      <c r="F49" s="17">
        <f t="shared" si="7"/>
        <v>4.8437500000000001E-2</v>
      </c>
      <c r="G49">
        <f t="shared" si="8"/>
        <v>50</v>
      </c>
      <c r="H49" s="11">
        <f t="shared" si="9"/>
        <v>0.55493137782561897</v>
      </c>
    </row>
    <row r="50" spans="1:8">
      <c r="A50" s="5" t="s">
        <v>902</v>
      </c>
      <c r="B50" s="5">
        <v>1008560</v>
      </c>
      <c r="C50" t="s">
        <v>1054</v>
      </c>
      <c r="D50" s="17">
        <f t="shared" si="5"/>
        <v>0.33285879629629628</v>
      </c>
      <c r="E50" s="17">
        <f t="shared" si="6"/>
        <v>0.19598379629629631</v>
      </c>
      <c r="F50" s="17">
        <f t="shared" si="7"/>
        <v>4.8738425925925928E-2</v>
      </c>
      <c r="G50">
        <f t="shared" si="8"/>
        <v>49</v>
      </c>
      <c r="H50" s="11">
        <f t="shared" si="9"/>
        <v>0.55217497131332804</v>
      </c>
    </row>
    <row r="51" spans="1:8">
      <c r="A51" s="5" t="s">
        <v>903</v>
      </c>
      <c r="B51" s="5">
        <v>1008561</v>
      </c>
      <c r="C51" t="s">
        <v>1055</v>
      </c>
      <c r="D51" s="17">
        <f t="shared" si="5"/>
        <v>0.20570601851851852</v>
      </c>
      <c r="E51" s="17">
        <f t="shared" si="6"/>
        <v>0.13252314814814814</v>
      </c>
      <c r="F51" s="17">
        <f t="shared" si="7"/>
        <v>1.2615740740740742E-2</v>
      </c>
      <c r="G51">
        <f t="shared" si="8"/>
        <v>48</v>
      </c>
      <c r="H51" s="11">
        <f t="shared" si="9"/>
        <v>0.58819557756147001</v>
      </c>
    </row>
    <row r="52" spans="1:8">
      <c r="A52" s="5" t="s">
        <v>904</v>
      </c>
      <c r="B52" s="5">
        <v>1008562</v>
      </c>
      <c r="C52" t="s">
        <v>1056</v>
      </c>
      <c r="D52" s="17">
        <f t="shared" si="5"/>
        <v>0.32318287037037036</v>
      </c>
      <c r="E52" s="17">
        <f t="shared" si="6"/>
        <v>0.19381944444444443</v>
      </c>
      <c r="F52" s="17">
        <f t="shared" si="7"/>
        <v>5.1898148148148152E-2</v>
      </c>
      <c r="G52">
        <f t="shared" si="8"/>
        <v>47</v>
      </c>
      <c r="H52" s="11">
        <f t="shared" si="9"/>
        <v>0.55534863732407003</v>
      </c>
    </row>
    <row r="53" spans="1:8">
      <c r="A53" s="5" t="s">
        <v>905</v>
      </c>
      <c r="B53" s="5">
        <v>1008563</v>
      </c>
      <c r="C53" t="s">
        <v>1057</v>
      </c>
      <c r="D53" s="17">
        <f t="shared" si="5"/>
        <v>0.33348379629629632</v>
      </c>
      <c r="E53" s="17">
        <f t="shared" si="6"/>
        <v>0.19890046296296296</v>
      </c>
      <c r="F53" s="17">
        <f t="shared" si="7"/>
        <v>4.8657407407407406E-2</v>
      </c>
      <c r="G53">
        <f t="shared" si="8"/>
        <v>46</v>
      </c>
      <c r="H53" s="11">
        <f t="shared" si="9"/>
        <v>0.55815083469267301</v>
      </c>
    </row>
    <row r="54" spans="1:8">
      <c r="A54" s="5" t="s">
        <v>906</v>
      </c>
      <c r="B54" s="5">
        <v>1008564</v>
      </c>
      <c r="C54" t="s">
        <v>1058</v>
      </c>
      <c r="D54" s="17">
        <f t="shared" si="5"/>
        <v>0.34015046296296297</v>
      </c>
      <c r="E54" s="17">
        <f t="shared" si="6"/>
        <v>0.20222222222222222</v>
      </c>
      <c r="F54" s="17">
        <f t="shared" si="7"/>
        <v>4.8715277777777781E-2</v>
      </c>
      <c r="G54">
        <f t="shared" si="8"/>
        <v>45</v>
      </c>
      <c r="H54" s="11">
        <f t="shared" si="9"/>
        <v>0.53002824185919895</v>
      </c>
    </row>
    <row r="55" spans="1:8">
      <c r="A55" s="5" t="s">
        <v>907</v>
      </c>
      <c r="B55" s="5">
        <v>1008565</v>
      </c>
      <c r="C55" t="s">
        <v>1059</v>
      </c>
      <c r="D55" s="17">
        <f t="shared" si="5"/>
        <v>0.34311342592592592</v>
      </c>
      <c r="E55" s="17">
        <f t="shared" si="6"/>
        <v>0.21112268518518518</v>
      </c>
      <c r="F55" s="17">
        <f t="shared" si="7"/>
        <v>4.9062500000000002E-2</v>
      </c>
      <c r="G55">
        <f t="shared" si="8"/>
        <v>44</v>
      </c>
      <c r="H55" s="11">
        <f t="shared" si="9"/>
        <v>0.54639905548996504</v>
      </c>
    </row>
    <row r="56" spans="1:8">
      <c r="A56" s="5" t="s">
        <v>908</v>
      </c>
      <c r="B56" s="5">
        <v>1008566</v>
      </c>
      <c r="C56" t="s">
        <v>1060</v>
      </c>
      <c r="D56" s="17">
        <f t="shared" si="5"/>
        <v>0.32046296296296295</v>
      </c>
      <c r="E56" s="17">
        <f t="shared" si="6"/>
        <v>0.18484953703703705</v>
      </c>
      <c r="F56" s="17">
        <f t="shared" si="7"/>
        <v>4.9143518518518517E-2</v>
      </c>
      <c r="G56">
        <f t="shared" si="8"/>
        <v>43</v>
      </c>
      <c r="H56" s="11">
        <f t="shared" si="9"/>
        <v>0.52849609939323905</v>
      </c>
    </row>
    <row r="57" spans="1:8">
      <c r="A57" s="5" t="s">
        <v>909</v>
      </c>
      <c r="B57" s="5">
        <v>1008567</v>
      </c>
      <c r="C57" t="s">
        <v>1004</v>
      </c>
      <c r="D57" s="17">
        <f t="shared" si="5"/>
        <v>0.33384259259259258</v>
      </c>
      <c r="E57" s="17">
        <f t="shared" si="6"/>
        <v>0.1867824074074074</v>
      </c>
      <c r="F57" s="17">
        <f t="shared" si="7"/>
        <v>4.853009259259259E-2</v>
      </c>
      <c r="G57">
        <f t="shared" si="8"/>
        <v>42</v>
      </c>
      <c r="H57" s="11">
        <f t="shared" si="9"/>
        <v>0.53279711551795905</v>
      </c>
    </row>
    <row r="58" spans="1:8">
      <c r="A58" s="5" t="s">
        <v>910</v>
      </c>
      <c r="B58" s="5">
        <v>1008568</v>
      </c>
      <c r="C58" t="s">
        <v>1004</v>
      </c>
      <c r="D58" s="17">
        <f t="shared" si="5"/>
        <v>0.33012731481481483</v>
      </c>
      <c r="E58" s="17">
        <f t="shared" si="6"/>
        <v>0.18739583333333334</v>
      </c>
      <c r="F58" s="17">
        <f t="shared" si="7"/>
        <v>5.2766203703703704E-2</v>
      </c>
      <c r="G58">
        <f t="shared" si="8"/>
        <v>41</v>
      </c>
      <c r="H58" s="11">
        <f t="shared" si="9"/>
        <v>0.53150089401535605</v>
      </c>
    </row>
    <row r="59" spans="1:8">
      <c r="A59" s="5" t="s">
        <v>911</v>
      </c>
      <c r="B59" s="5">
        <v>1008569</v>
      </c>
      <c r="C59" t="s">
        <v>1061</v>
      </c>
      <c r="D59" s="17">
        <f t="shared" si="5"/>
        <v>0.34032407407407406</v>
      </c>
      <c r="E59" s="17">
        <f t="shared" si="6"/>
        <v>0.21151620370370369</v>
      </c>
      <c r="F59" s="17">
        <f t="shared" si="7"/>
        <v>4.9756944444444444E-2</v>
      </c>
      <c r="G59">
        <f t="shared" si="8"/>
        <v>40</v>
      </c>
      <c r="H59" s="11">
        <f t="shared" si="9"/>
        <v>0.58954564004897303</v>
      </c>
    </row>
    <row r="60" spans="1:8">
      <c r="A60" s="5" t="s">
        <v>912</v>
      </c>
      <c r="B60" s="5">
        <v>1008570</v>
      </c>
      <c r="C60" t="s">
        <v>1062</v>
      </c>
      <c r="D60" s="17">
        <f t="shared" si="5"/>
        <v>0.33714120370370371</v>
      </c>
      <c r="E60" s="17">
        <f t="shared" si="6"/>
        <v>0.13162037037037036</v>
      </c>
      <c r="F60" s="17">
        <f t="shared" si="7"/>
        <v>0.14913194444444444</v>
      </c>
      <c r="G60">
        <f t="shared" si="8"/>
        <v>39</v>
      </c>
      <c r="H60" s="11">
        <f t="shared" si="9"/>
        <v>0.34903360911806097</v>
      </c>
    </row>
    <row r="61" spans="1:8">
      <c r="A61" s="5" t="s">
        <v>913</v>
      </c>
      <c r="B61" s="5">
        <v>1008571</v>
      </c>
      <c r="C61" t="s">
        <v>1063</v>
      </c>
      <c r="D61" s="17">
        <f t="shared" si="5"/>
        <v>0.34364583333333332</v>
      </c>
      <c r="E61" s="17">
        <f t="shared" si="6"/>
        <v>0.17246527777777779</v>
      </c>
      <c r="F61" s="17">
        <f t="shared" si="7"/>
        <v>9.194444444444444E-2</v>
      </c>
      <c r="G61">
        <f t="shared" si="8"/>
        <v>38</v>
      </c>
      <c r="H61" s="11">
        <f t="shared" si="9"/>
        <v>0.47933717288067101</v>
      </c>
    </row>
    <row r="62" spans="1:8">
      <c r="A62" s="5" t="s">
        <v>914</v>
      </c>
      <c r="B62" s="5">
        <v>1008572</v>
      </c>
      <c r="C62" t="s">
        <v>1064</v>
      </c>
      <c r="D62" s="17">
        <f t="shared" si="5"/>
        <v>0.21915509259259258</v>
      </c>
      <c r="E62" s="17">
        <f t="shared" si="6"/>
        <v>0.15189814814814814</v>
      </c>
      <c r="F62" s="17">
        <f t="shared" si="7"/>
        <v>1.0821759259259258E-2</v>
      </c>
      <c r="G62">
        <f t="shared" si="8"/>
        <v>37</v>
      </c>
      <c r="H62" s="11">
        <f t="shared" si="9"/>
        <v>0.62762080802746201</v>
      </c>
    </row>
    <row r="63" spans="1:8">
      <c r="A63" s="5" t="s">
        <v>915</v>
      </c>
      <c r="B63" s="5">
        <v>1008573</v>
      </c>
      <c r="C63" t="s">
        <v>1065</v>
      </c>
      <c r="D63" s="17">
        <f t="shared" si="5"/>
        <v>0.3417824074074074</v>
      </c>
      <c r="E63" s="17">
        <f t="shared" si="6"/>
        <v>0.17645833333333333</v>
      </c>
      <c r="F63" s="17">
        <f t="shared" si="7"/>
        <v>9.2442129629629624E-2</v>
      </c>
      <c r="G63">
        <f t="shared" si="8"/>
        <v>36</v>
      </c>
      <c r="H63" s="11">
        <f t="shared" si="9"/>
        <v>0.47561801557737898</v>
      </c>
    </row>
    <row r="64" spans="1:8">
      <c r="A64" s="5" t="s">
        <v>916</v>
      </c>
      <c r="B64" s="5">
        <v>1008574</v>
      </c>
      <c r="C64" t="s">
        <v>1066</v>
      </c>
      <c r="D64" s="17">
        <f t="shared" si="5"/>
        <v>0.33370370370370372</v>
      </c>
      <c r="E64" s="17">
        <f t="shared" si="6"/>
        <v>0.16336805555555556</v>
      </c>
      <c r="F64" s="17">
        <f t="shared" si="7"/>
        <v>0.11005787037037038</v>
      </c>
      <c r="G64">
        <f t="shared" si="8"/>
        <v>35</v>
      </c>
      <c r="H64" s="11">
        <f t="shared" si="9"/>
        <v>0.43635543840177599</v>
      </c>
    </row>
    <row r="65" spans="1:8">
      <c r="A65" s="5" t="s">
        <v>917</v>
      </c>
      <c r="B65" s="5">
        <v>1008575</v>
      </c>
      <c r="C65" t="s">
        <v>1067</v>
      </c>
      <c r="D65" s="17">
        <f t="shared" si="5"/>
        <v>0.33026620370370369</v>
      </c>
      <c r="E65" s="17">
        <f t="shared" si="6"/>
        <v>0.16021990740740741</v>
      </c>
      <c r="F65" s="17">
        <f t="shared" si="7"/>
        <v>0.10043981481481482</v>
      </c>
      <c r="G65">
        <f t="shared" si="8"/>
        <v>34</v>
      </c>
      <c r="H65" s="11">
        <f t="shared" si="9"/>
        <v>0.451270369721395</v>
      </c>
    </row>
    <row r="66" spans="1:8">
      <c r="A66" s="5" t="s">
        <v>918</v>
      </c>
      <c r="B66" s="5">
        <v>1008576</v>
      </c>
      <c r="C66" t="s">
        <v>1068</v>
      </c>
      <c r="D66" s="17">
        <f t="shared" ref="D66:D97" si="10">TIMEVALUE(VLOOKUP(A66,effD,2,0))</f>
        <v>0.20910879629629631</v>
      </c>
      <c r="E66" s="17">
        <f t="shared" ref="E66:E97" si="11">TIMEVALUE(VLOOKUP(A66,effD,3,0))</f>
        <v>0.13449074074074074</v>
      </c>
      <c r="F66" s="17">
        <f t="shared" ref="F66:F97" si="12">TIMEVALUE(VLOOKUP(A66,breakD,9,0))</f>
        <v>2.0532407407407409E-2</v>
      </c>
      <c r="G66">
        <f t="shared" ref="G66:G97" si="13">VLOOKUP(A66,effD,4,0)</f>
        <v>33</v>
      </c>
      <c r="H66" s="11">
        <f t="shared" ref="H66:H97" si="14">VLOOKUP(A66,effD,6,0)</f>
        <v>0.61244257486024201</v>
      </c>
    </row>
    <row r="67" spans="1:8">
      <c r="A67" s="5" t="s">
        <v>919</v>
      </c>
      <c r="B67" s="5">
        <v>1008577</v>
      </c>
      <c r="C67" t="s">
        <v>1069</v>
      </c>
      <c r="D67" s="17">
        <f t="shared" si="10"/>
        <v>0.34836805555555556</v>
      </c>
      <c r="E67" s="17">
        <f t="shared" si="11"/>
        <v>0.19697916666666668</v>
      </c>
      <c r="F67" s="17">
        <f t="shared" si="12"/>
        <v>5.1423611111111114E-2</v>
      </c>
      <c r="G67">
        <f t="shared" si="13"/>
        <v>32</v>
      </c>
      <c r="H67" s="11">
        <f t="shared" si="14"/>
        <v>0.51755872288115901</v>
      </c>
    </row>
    <row r="68" spans="1:8">
      <c r="A68" s="5" t="s">
        <v>920</v>
      </c>
      <c r="B68" s="5">
        <v>1008578</v>
      </c>
      <c r="C68" t="s">
        <v>1070</v>
      </c>
      <c r="D68" s="17">
        <f t="shared" si="10"/>
        <v>0.34686342592592595</v>
      </c>
      <c r="E68" s="17">
        <f t="shared" si="11"/>
        <v>0.20438657407407407</v>
      </c>
      <c r="F68" s="17">
        <f t="shared" si="12"/>
        <v>4.7534722222222221E-2</v>
      </c>
      <c r="G68">
        <f t="shared" si="13"/>
        <v>31</v>
      </c>
      <c r="H68" s="11">
        <f t="shared" si="14"/>
        <v>0.55550735760285597</v>
      </c>
    </row>
    <row r="69" spans="1:8">
      <c r="A69" s="5" t="s">
        <v>921</v>
      </c>
      <c r="B69" s="5">
        <v>1008579</v>
      </c>
      <c r="C69" t="s">
        <v>1071</v>
      </c>
      <c r="D69" s="17">
        <f t="shared" si="10"/>
        <v>0.34806712962962966</v>
      </c>
      <c r="E69" s="17">
        <f t="shared" si="11"/>
        <v>0.19177083333333333</v>
      </c>
      <c r="F69" s="17">
        <f t="shared" si="12"/>
        <v>9.3958333333333338E-2</v>
      </c>
      <c r="G69">
        <f t="shared" si="13"/>
        <v>30</v>
      </c>
      <c r="H69" s="11">
        <f t="shared" si="14"/>
        <v>0.45535862734013899</v>
      </c>
    </row>
    <row r="70" spans="1:8">
      <c r="A70" s="5" t="s">
        <v>922</v>
      </c>
      <c r="B70" s="5">
        <v>1008580</v>
      </c>
      <c r="C70" t="s">
        <v>1072</v>
      </c>
      <c r="D70" s="17">
        <f t="shared" si="10"/>
        <v>0.3349537037037037</v>
      </c>
      <c r="E70" s="17">
        <f t="shared" si="11"/>
        <v>0.19739583333333333</v>
      </c>
      <c r="F70" s="17">
        <f t="shared" si="12"/>
        <v>4.8645833333333333E-2</v>
      </c>
      <c r="G70">
        <f t="shared" si="13"/>
        <v>29</v>
      </c>
      <c r="H70" s="11">
        <f t="shared" si="14"/>
        <v>0.53445058742225304</v>
      </c>
    </row>
    <row r="71" spans="1:8">
      <c r="A71" s="5" t="s">
        <v>923</v>
      </c>
      <c r="B71" s="5">
        <v>1008581</v>
      </c>
      <c r="C71" t="s">
        <v>1073</v>
      </c>
      <c r="D71" s="17">
        <f t="shared" si="10"/>
        <v>0.34497685185185184</v>
      </c>
      <c r="E71" s="17">
        <f t="shared" si="11"/>
        <v>0.20746527777777779</v>
      </c>
      <c r="F71" s="17">
        <f t="shared" si="12"/>
        <v>6.7650462962962968E-2</v>
      </c>
      <c r="G71">
        <f t="shared" si="13"/>
        <v>28</v>
      </c>
      <c r="H71" s="11">
        <f t="shared" si="14"/>
        <v>0.55914916459773201</v>
      </c>
    </row>
    <row r="72" spans="1:8">
      <c r="A72" s="5" t="s">
        <v>924</v>
      </c>
      <c r="B72" s="5">
        <v>1008582</v>
      </c>
      <c r="C72" t="s">
        <v>1074</v>
      </c>
      <c r="D72" s="17">
        <f t="shared" si="10"/>
        <v>0.33376157407407409</v>
      </c>
      <c r="E72" s="17">
        <f t="shared" si="11"/>
        <v>0.19787037037037036</v>
      </c>
      <c r="F72" s="17">
        <f t="shared" si="12"/>
        <v>4.853009259259259E-2</v>
      </c>
      <c r="G72">
        <f t="shared" si="13"/>
        <v>29</v>
      </c>
      <c r="H72" s="11">
        <f t="shared" si="14"/>
        <v>0.56847106148351101</v>
      </c>
    </row>
    <row r="73" spans="1:8">
      <c r="A73" s="5" t="s">
        <v>925</v>
      </c>
      <c r="B73" s="5">
        <v>1008583</v>
      </c>
      <c r="C73" t="s">
        <v>1075</v>
      </c>
      <c r="D73" s="17">
        <f t="shared" si="10"/>
        <v>0.33037037037037037</v>
      </c>
      <c r="E73" s="17">
        <f t="shared" si="11"/>
        <v>0.18496527777777777</v>
      </c>
      <c r="F73" s="17">
        <f t="shared" si="12"/>
        <v>6.6701388888888893E-2</v>
      </c>
      <c r="G73">
        <f t="shared" si="13"/>
        <v>30</v>
      </c>
      <c r="H73" s="11">
        <f t="shared" si="14"/>
        <v>0.47509108744394601</v>
      </c>
    </row>
    <row r="74" spans="1:8">
      <c r="A74" s="5" t="s">
        <v>926</v>
      </c>
      <c r="B74" s="5">
        <v>1008584</v>
      </c>
      <c r="C74" t="s">
        <v>1076</v>
      </c>
      <c r="D74" s="17">
        <f t="shared" si="10"/>
        <v>0.34008101851851852</v>
      </c>
      <c r="E74" s="17">
        <f t="shared" si="11"/>
        <v>0.16811342592592593</v>
      </c>
      <c r="F74" s="17">
        <f t="shared" si="12"/>
        <v>9.1597222222222219E-2</v>
      </c>
      <c r="G74">
        <f t="shared" si="13"/>
        <v>31</v>
      </c>
      <c r="H74" s="11">
        <f t="shared" si="14"/>
        <v>0.47578531804104401</v>
      </c>
    </row>
    <row r="75" spans="1:8">
      <c r="A75" s="5" t="s">
        <v>927</v>
      </c>
      <c r="B75" s="5">
        <v>1008585</v>
      </c>
      <c r="C75" t="s">
        <v>1077</v>
      </c>
      <c r="D75" s="17">
        <f t="shared" si="10"/>
        <v>0.33415509259259257</v>
      </c>
      <c r="E75" s="17">
        <f t="shared" si="11"/>
        <v>0.16863425925925926</v>
      </c>
      <c r="F75" s="17">
        <f t="shared" si="12"/>
        <v>0.10168981481481482</v>
      </c>
      <c r="G75">
        <f t="shared" si="13"/>
        <v>32</v>
      </c>
      <c r="H75" s="11">
        <f t="shared" si="14"/>
        <v>0.46898271622042897</v>
      </c>
    </row>
    <row r="76" spans="1:8">
      <c r="A76" s="5" t="s">
        <v>928</v>
      </c>
      <c r="B76" s="5">
        <v>1008586</v>
      </c>
      <c r="C76" t="s">
        <v>1078</v>
      </c>
      <c r="D76" s="17">
        <f t="shared" si="10"/>
        <v>0.34437499999999999</v>
      </c>
      <c r="E76" s="17">
        <f t="shared" si="11"/>
        <v>0.18534722222222222</v>
      </c>
      <c r="F76" s="17">
        <f t="shared" si="12"/>
        <v>8.0162037037037032E-2</v>
      </c>
      <c r="G76">
        <f t="shared" si="13"/>
        <v>33</v>
      </c>
      <c r="H76" s="11">
        <f t="shared" si="14"/>
        <v>0.51361161524500898</v>
      </c>
    </row>
    <row r="77" spans="1:8">
      <c r="A77" s="5" t="s">
        <v>929</v>
      </c>
      <c r="B77" s="5">
        <v>1008587</v>
      </c>
      <c r="C77" t="s">
        <v>1079</v>
      </c>
      <c r="D77" s="17">
        <f t="shared" si="10"/>
        <v>0.3558101851851852</v>
      </c>
      <c r="E77" s="17">
        <f t="shared" si="11"/>
        <v>0.21642361111111111</v>
      </c>
      <c r="F77" s="17">
        <f t="shared" si="12"/>
        <v>6.8541666666666667E-2</v>
      </c>
      <c r="G77">
        <f t="shared" si="13"/>
        <v>34</v>
      </c>
      <c r="H77" s="11">
        <f t="shared" si="14"/>
        <v>0.525112224318522</v>
      </c>
    </row>
    <row r="78" spans="1:8">
      <c r="A78" s="5" t="s">
        <v>930</v>
      </c>
      <c r="B78" s="5">
        <v>1008588</v>
      </c>
      <c r="C78" t="s">
        <v>1080</v>
      </c>
      <c r="D78" s="17">
        <f t="shared" si="10"/>
        <v>0.34848379629629628</v>
      </c>
      <c r="E78" s="17">
        <f t="shared" si="11"/>
        <v>0.12767361111111111</v>
      </c>
      <c r="F78" s="17">
        <f t="shared" si="12"/>
        <v>0.17460648148148147</v>
      </c>
      <c r="G78">
        <f t="shared" si="13"/>
        <v>35</v>
      </c>
      <c r="H78" s="11">
        <f t="shared" si="14"/>
        <v>0.348600086352918</v>
      </c>
    </row>
    <row r="79" spans="1:8">
      <c r="A79" s="5" t="s">
        <v>931</v>
      </c>
      <c r="B79" s="5">
        <v>1008589</v>
      </c>
      <c r="C79" t="s">
        <v>1081</v>
      </c>
      <c r="D79" s="17">
        <f t="shared" si="10"/>
        <v>0.35092592592592592</v>
      </c>
      <c r="E79" s="17">
        <f t="shared" si="11"/>
        <v>0.12086805555555556</v>
      </c>
      <c r="F79" s="17">
        <f t="shared" si="12"/>
        <v>0.18131944444444445</v>
      </c>
      <c r="G79">
        <f t="shared" si="13"/>
        <v>36</v>
      </c>
      <c r="H79" s="11">
        <f t="shared" si="14"/>
        <v>0.314709762532982</v>
      </c>
    </row>
    <row r="80" spans="1:8">
      <c r="A80" s="5" t="s">
        <v>932</v>
      </c>
      <c r="B80" s="5">
        <v>1008590</v>
      </c>
      <c r="C80" t="s">
        <v>1082</v>
      </c>
      <c r="D80" s="17">
        <f t="shared" si="10"/>
        <v>0.33891203703703704</v>
      </c>
      <c r="E80" s="17">
        <f t="shared" si="11"/>
        <v>0.21581018518518519</v>
      </c>
      <c r="F80" s="17">
        <f t="shared" si="12"/>
        <v>4.8900462962962965E-2</v>
      </c>
      <c r="G80">
        <f t="shared" si="13"/>
        <v>37</v>
      </c>
      <c r="H80" s="11">
        <f t="shared" si="14"/>
        <v>0.55600710333993597</v>
      </c>
    </row>
    <row r="81" spans="1:8">
      <c r="A81" s="5" t="s">
        <v>933</v>
      </c>
      <c r="B81" s="5">
        <v>1008591</v>
      </c>
      <c r="C81" t="s">
        <v>1083</v>
      </c>
      <c r="D81" s="17">
        <f t="shared" si="10"/>
        <v>0.34675925925925927</v>
      </c>
      <c r="E81" s="17">
        <f t="shared" si="11"/>
        <v>0.17275462962962962</v>
      </c>
      <c r="F81" s="17">
        <f t="shared" si="12"/>
        <v>0.10935185185185185</v>
      </c>
      <c r="G81">
        <f t="shared" si="13"/>
        <v>38</v>
      </c>
      <c r="H81" s="11">
        <f t="shared" si="14"/>
        <v>0.46221628838451301</v>
      </c>
    </row>
    <row r="82" spans="1:8">
      <c r="A82" s="5" t="s">
        <v>934</v>
      </c>
      <c r="B82" s="5">
        <v>1008592</v>
      </c>
      <c r="C82" t="s">
        <v>1084</v>
      </c>
      <c r="D82" s="17">
        <f t="shared" si="10"/>
        <v>0.3511111111111111</v>
      </c>
      <c r="E82" s="17">
        <f t="shared" si="11"/>
        <v>0.15339120370370371</v>
      </c>
      <c r="F82" s="17">
        <f t="shared" si="12"/>
        <v>0.13890046296296296</v>
      </c>
      <c r="G82">
        <f t="shared" si="13"/>
        <v>39</v>
      </c>
      <c r="H82" s="11">
        <f t="shared" si="14"/>
        <v>0.39075685654008402</v>
      </c>
    </row>
    <row r="83" spans="1:8">
      <c r="A83" s="5" t="s">
        <v>935</v>
      </c>
      <c r="B83" s="5">
        <v>1008593</v>
      </c>
      <c r="C83" t="s">
        <v>1085</v>
      </c>
      <c r="D83" s="17">
        <f t="shared" si="10"/>
        <v>0.3447453703703704</v>
      </c>
      <c r="E83" s="17">
        <f t="shared" si="11"/>
        <v>0.21947916666666667</v>
      </c>
      <c r="F83" s="17">
        <f t="shared" si="12"/>
        <v>4.7592592592592596E-2</v>
      </c>
      <c r="G83">
        <f t="shared" si="13"/>
        <v>40</v>
      </c>
      <c r="H83" s="11">
        <f t="shared" si="14"/>
        <v>0.54713623850130899</v>
      </c>
    </row>
    <row r="84" spans="1:8">
      <c r="A84" s="5" t="s">
        <v>936</v>
      </c>
      <c r="B84" s="5">
        <v>1008594</v>
      </c>
      <c r="C84" t="s">
        <v>1086</v>
      </c>
      <c r="D84" s="17">
        <f t="shared" si="10"/>
        <v>0.3167476851851852</v>
      </c>
      <c r="E84" s="17">
        <f t="shared" si="11"/>
        <v>0.21346064814814814</v>
      </c>
      <c r="F84" s="17">
        <f t="shared" si="12"/>
        <v>2.1064814814814814E-2</v>
      </c>
      <c r="G84">
        <f t="shared" si="13"/>
        <v>41</v>
      </c>
      <c r="H84" s="11">
        <f t="shared" si="14"/>
        <v>0.61457229509993805</v>
      </c>
    </row>
    <row r="85" spans="1:8">
      <c r="A85" s="5" t="s">
        <v>937</v>
      </c>
      <c r="B85" s="5">
        <v>1008595</v>
      </c>
      <c r="C85" t="s">
        <v>1087</v>
      </c>
      <c r="D85" s="17">
        <f t="shared" si="10"/>
        <v>0.34024305555555556</v>
      </c>
      <c r="E85" s="17">
        <f t="shared" si="11"/>
        <v>0.21100694444444446</v>
      </c>
      <c r="F85" s="17">
        <f t="shared" si="12"/>
        <v>4.7731481481481479E-2</v>
      </c>
      <c r="G85">
        <f t="shared" si="13"/>
        <v>42</v>
      </c>
      <c r="H85" s="11">
        <f t="shared" si="14"/>
        <v>0.55335578460387103</v>
      </c>
    </row>
    <row r="86" spans="1:8">
      <c r="A86" s="5" t="s">
        <v>938</v>
      </c>
      <c r="B86" s="5">
        <v>1008596</v>
      </c>
      <c r="C86" t="s">
        <v>1088</v>
      </c>
      <c r="D86" s="17">
        <f t="shared" si="10"/>
        <v>0.33611111111111114</v>
      </c>
      <c r="E86" s="17">
        <f t="shared" si="11"/>
        <v>0.21214120370370371</v>
      </c>
      <c r="F86" s="17">
        <f t="shared" si="12"/>
        <v>4.7500000000000001E-2</v>
      </c>
      <c r="G86">
        <f t="shared" si="13"/>
        <v>43</v>
      </c>
      <c r="H86" s="11">
        <f t="shared" si="14"/>
        <v>0.611363636363636</v>
      </c>
    </row>
    <row r="87" spans="1:8">
      <c r="A87" s="5" t="s">
        <v>939</v>
      </c>
      <c r="B87" s="5">
        <v>1008597</v>
      </c>
      <c r="C87" t="s">
        <v>1089</v>
      </c>
      <c r="D87" s="17">
        <f t="shared" si="10"/>
        <v>0.3331365740740741</v>
      </c>
      <c r="E87" s="17">
        <f t="shared" si="11"/>
        <v>0.18670138888888888</v>
      </c>
      <c r="F87" s="17">
        <f t="shared" si="12"/>
        <v>6.7430555555555549E-2</v>
      </c>
      <c r="G87">
        <f t="shared" si="13"/>
        <v>44</v>
      </c>
      <c r="H87" s="11">
        <f t="shared" si="14"/>
        <v>0.51217732689434703</v>
      </c>
    </row>
    <row r="88" spans="1:8">
      <c r="A88" s="5" t="s">
        <v>940</v>
      </c>
      <c r="B88" s="5">
        <v>1008598</v>
      </c>
      <c r="C88" t="s">
        <v>1090</v>
      </c>
      <c r="D88" s="17">
        <f t="shared" si="10"/>
        <v>0.35135416666666669</v>
      </c>
      <c r="E88" s="17">
        <f t="shared" si="11"/>
        <v>0.20708333333333334</v>
      </c>
      <c r="F88" s="17">
        <f t="shared" si="12"/>
        <v>5.4953703703703706E-2</v>
      </c>
      <c r="G88">
        <f t="shared" si="13"/>
        <v>45</v>
      </c>
      <c r="H88" s="11">
        <f t="shared" si="14"/>
        <v>0.56029910728991705</v>
      </c>
    </row>
    <row r="89" spans="1:8">
      <c r="A89" s="5" t="s">
        <v>941</v>
      </c>
      <c r="B89" s="5">
        <v>1008599</v>
      </c>
      <c r="C89" t="s">
        <v>1091</v>
      </c>
      <c r="D89" s="17">
        <f t="shared" si="10"/>
        <v>0.34356481481481482</v>
      </c>
      <c r="E89" s="17">
        <f t="shared" si="11"/>
        <v>0.16344907407407408</v>
      </c>
      <c r="F89" s="17">
        <f t="shared" si="12"/>
        <v>0.10712962962962963</v>
      </c>
      <c r="G89">
        <f t="shared" si="13"/>
        <v>46</v>
      </c>
      <c r="H89" s="11">
        <f t="shared" si="14"/>
        <v>0.42891793558819602</v>
      </c>
    </row>
    <row r="90" spans="1:8">
      <c r="A90" s="5" t="s">
        <v>942</v>
      </c>
      <c r="B90" s="5">
        <v>1008600</v>
      </c>
      <c r="C90" t="s">
        <v>1092</v>
      </c>
      <c r="D90" s="17">
        <f t="shared" si="10"/>
        <v>0.34900462962962964</v>
      </c>
      <c r="E90" s="17">
        <f t="shared" si="11"/>
        <v>3.3715277777777775E-2</v>
      </c>
      <c r="F90" s="17">
        <f t="shared" si="12"/>
        <v>0.29744212962962963</v>
      </c>
      <c r="G90">
        <f t="shared" si="13"/>
        <v>47</v>
      </c>
      <c r="H90" s="11">
        <f t="shared" si="14"/>
        <v>9.4547987000066294E-2</v>
      </c>
    </row>
    <row r="91" spans="1:8">
      <c r="A91" s="5" t="s">
        <v>943</v>
      </c>
      <c r="B91" s="5">
        <v>1008601</v>
      </c>
      <c r="C91" t="s">
        <v>1005</v>
      </c>
      <c r="D91" s="17">
        <f t="shared" si="10"/>
        <v>0.33378472222222222</v>
      </c>
      <c r="E91" s="17">
        <f t="shared" si="11"/>
        <v>0.21655092592592592</v>
      </c>
      <c r="F91" s="17">
        <f t="shared" si="12"/>
        <v>5.0046296296296297E-2</v>
      </c>
      <c r="G91">
        <f t="shared" si="13"/>
        <v>48</v>
      </c>
      <c r="H91" s="11">
        <f t="shared" si="14"/>
        <v>0.61021533340268397</v>
      </c>
    </row>
    <row r="92" spans="1:8">
      <c r="A92" s="5" t="s">
        <v>944</v>
      </c>
      <c r="B92" s="5">
        <v>1008602</v>
      </c>
      <c r="C92" t="s">
        <v>1005</v>
      </c>
      <c r="D92" s="17">
        <f t="shared" si="10"/>
        <v>0.34559027777777779</v>
      </c>
      <c r="E92" s="17">
        <f t="shared" si="11"/>
        <v>0.2011574074074074</v>
      </c>
      <c r="F92" s="17">
        <f t="shared" si="12"/>
        <v>8.790509259259259E-2</v>
      </c>
      <c r="G92">
        <f t="shared" si="13"/>
        <v>49</v>
      </c>
      <c r="H92" s="11">
        <f t="shared" si="14"/>
        <v>0.51260926353863201</v>
      </c>
    </row>
    <row r="93" spans="1:8">
      <c r="A93" s="5" t="s">
        <v>945</v>
      </c>
      <c r="B93" s="5">
        <v>1008603</v>
      </c>
      <c r="C93" t="s">
        <v>1093</v>
      </c>
      <c r="D93" s="17">
        <f t="shared" si="10"/>
        <v>0.2114699074074074</v>
      </c>
      <c r="E93" s="17">
        <f t="shared" si="11"/>
        <v>0.14190972222222223</v>
      </c>
      <c r="F93" s="17">
        <f t="shared" si="12"/>
        <v>1.6979166666666667E-2</v>
      </c>
      <c r="G93">
        <f t="shared" si="13"/>
        <v>50</v>
      </c>
      <c r="H93" s="11">
        <f t="shared" si="14"/>
        <v>0.62426796562859199</v>
      </c>
    </row>
    <row r="94" spans="1:8">
      <c r="A94" s="5" t="s">
        <v>946</v>
      </c>
      <c r="B94" s="5">
        <v>1008604</v>
      </c>
      <c r="C94" t="s">
        <v>1094</v>
      </c>
      <c r="D94" s="17">
        <f t="shared" si="10"/>
        <v>0.34075231481481483</v>
      </c>
      <c r="E94" s="17">
        <f t="shared" si="11"/>
        <v>0.19762731481481483</v>
      </c>
      <c r="F94" s="17">
        <f t="shared" si="12"/>
        <v>4.8240740740740744E-2</v>
      </c>
      <c r="G94">
        <f t="shared" si="13"/>
        <v>51</v>
      </c>
      <c r="H94" s="11">
        <f t="shared" si="14"/>
        <v>0.54373153085832704</v>
      </c>
    </row>
    <row r="95" spans="1:8">
      <c r="A95" s="5" t="s">
        <v>947</v>
      </c>
      <c r="B95" s="5">
        <v>1008605</v>
      </c>
      <c r="C95" t="s">
        <v>1095</v>
      </c>
      <c r="D95" s="17">
        <f t="shared" si="10"/>
        <v>0.34390046296296295</v>
      </c>
      <c r="E95" s="17" t="e">
        <f t="shared" si="11"/>
        <v>#VALUE!</v>
      </c>
      <c r="F95" s="17">
        <f t="shared" si="12"/>
        <v>0.34385416666666668</v>
      </c>
      <c r="G95">
        <f t="shared" si="13"/>
        <v>52</v>
      </c>
      <c r="H95" s="11">
        <f t="shared" si="14"/>
        <v>0</v>
      </c>
    </row>
    <row r="96" spans="1:8">
      <c r="A96" s="5" t="s">
        <v>948</v>
      </c>
      <c r="B96" s="5">
        <v>1008606</v>
      </c>
      <c r="C96" t="s">
        <v>1096</v>
      </c>
      <c r="D96" s="17">
        <f t="shared" si="10"/>
        <v>0.33532407407407405</v>
      </c>
      <c r="E96" s="17">
        <f t="shared" si="11"/>
        <v>5.0763888888888886E-2</v>
      </c>
      <c r="F96" s="17">
        <f t="shared" si="12"/>
        <v>0.27759259259259261</v>
      </c>
      <c r="G96">
        <f t="shared" si="13"/>
        <v>53</v>
      </c>
      <c r="H96" s="11">
        <f t="shared" si="14"/>
        <v>0.14431174927516199</v>
      </c>
    </row>
    <row r="97" spans="1:8">
      <c r="A97" s="5" t="s">
        <v>949</v>
      </c>
      <c r="B97" s="5">
        <v>1008607</v>
      </c>
      <c r="C97" t="s">
        <v>1097</v>
      </c>
      <c r="D97" s="17">
        <f t="shared" si="10"/>
        <v>0.34682870370370372</v>
      </c>
      <c r="E97" s="17">
        <f t="shared" si="11"/>
        <v>0.20351851851851852</v>
      </c>
      <c r="F97" s="17">
        <f t="shared" si="12"/>
        <v>5.122685185185185E-2</v>
      </c>
      <c r="G97">
        <f t="shared" si="13"/>
        <v>54</v>
      </c>
      <c r="H97" s="11">
        <f t="shared" si="14"/>
        <v>0.55259293866381898</v>
      </c>
    </row>
    <row r="98" spans="1:8">
      <c r="A98" s="5" t="s">
        <v>950</v>
      </c>
      <c r="B98" s="5">
        <v>1008608</v>
      </c>
      <c r="C98" t="s">
        <v>1098</v>
      </c>
      <c r="D98" s="17">
        <f t="shared" ref="D98:D129" si="15">TIMEVALUE(VLOOKUP(A98,effD,2,0))</f>
        <v>0.33483796296296298</v>
      </c>
      <c r="E98" s="17">
        <f t="shared" ref="E98:E129" si="16">TIMEVALUE(VLOOKUP(A98,effD,3,0))</f>
        <v>6.6759259259259254E-2</v>
      </c>
      <c r="F98" s="17">
        <f t="shared" ref="F98:F129" si="17">TIMEVALUE(VLOOKUP(A98,breakD,9,0))</f>
        <v>0.23973379629629629</v>
      </c>
      <c r="G98">
        <f t="shared" ref="G98:G129" si="18">VLOOKUP(A98,effD,4,0)</f>
        <v>55</v>
      </c>
      <c r="H98" s="11">
        <f t="shared" ref="H98:H129" si="19">VLOOKUP(A98,effD,6,0)</f>
        <v>0.18938817836156199</v>
      </c>
    </row>
    <row r="99" spans="1:8">
      <c r="A99" s="5" t="s">
        <v>951</v>
      </c>
      <c r="B99" s="5">
        <v>1008609</v>
      </c>
      <c r="C99" t="s">
        <v>1099</v>
      </c>
      <c r="D99" s="17">
        <f t="shared" si="15"/>
        <v>0.34770833333333334</v>
      </c>
      <c r="E99" s="17">
        <f t="shared" si="16"/>
        <v>0.1784375</v>
      </c>
      <c r="F99" s="17">
        <f t="shared" si="17"/>
        <v>8.6782407407407405E-2</v>
      </c>
      <c r="G99">
        <f t="shared" si="18"/>
        <v>56</v>
      </c>
      <c r="H99" s="11">
        <f t="shared" si="19"/>
        <v>0.47077424938419499</v>
      </c>
    </row>
    <row r="100" spans="1:8">
      <c r="A100" s="5" t="s">
        <v>952</v>
      </c>
      <c r="B100" s="5">
        <v>1008610</v>
      </c>
      <c r="C100" t="s">
        <v>1100</v>
      </c>
      <c r="D100" s="17">
        <f t="shared" si="15"/>
        <v>0.33384259259259258</v>
      </c>
      <c r="E100" s="17">
        <f t="shared" si="16"/>
        <v>0.19934027777777777</v>
      </c>
      <c r="F100" s="17">
        <f t="shared" si="17"/>
        <v>4.9467592592592591E-2</v>
      </c>
      <c r="G100">
        <f t="shared" si="18"/>
        <v>57</v>
      </c>
      <c r="H100" s="11">
        <f t="shared" si="19"/>
        <v>0.53862155040909698</v>
      </c>
    </row>
    <row r="101" spans="1:8">
      <c r="A101" s="5" t="s">
        <v>953</v>
      </c>
      <c r="B101" s="5">
        <v>1008611</v>
      </c>
      <c r="C101" t="s">
        <v>1101</v>
      </c>
      <c r="D101" s="17">
        <f t="shared" si="15"/>
        <v>0.3346412037037037</v>
      </c>
      <c r="E101" s="17">
        <f t="shared" si="16"/>
        <v>0.19371527777777778</v>
      </c>
      <c r="F101" s="17">
        <f t="shared" si="17"/>
        <v>4.8240740740740744E-2</v>
      </c>
      <c r="G101">
        <f t="shared" si="18"/>
        <v>58</v>
      </c>
      <c r="H101" s="11">
        <f t="shared" si="19"/>
        <v>0.53294365856189296</v>
      </c>
    </row>
    <row r="102" spans="1:8">
      <c r="A102" s="5" t="s">
        <v>954</v>
      </c>
      <c r="B102" s="5">
        <v>1008612</v>
      </c>
      <c r="C102" t="s">
        <v>1102</v>
      </c>
      <c r="D102" s="17">
        <f t="shared" si="15"/>
        <v>0.24574074074074073</v>
      </c>
      <c r="E102" s="17">
        <f t="shared" si="16"/>
        <v>0.12021990740740741</v>
      </c>
      <c r="F102" s="17">
        <f t="shared" si="17"/>
        <v>0.11229166666666666</v>
      </c>
      <c r="G102">
        <f t="shared" si="18"/>
        <v>59</v>
      </c>
      <c r="H102" s="11">
        <f t="shared" si="19"/>
        <v>0.41310286360211002</v>
      </c>
    </row>
    <row r="103" spans="1:8">
      <c r="A103" s="5" t="s">
        <v>955</v>
      </c>
      <c r="B103" s="5">
        <v>1008613</v>
      </c>
      <c r="C103" t="s">
        <v>1103</v>
      </c>
      <c r="D103" s="17">
        <f t="shared" si="15"/>
        <v>0.34446759259259258</v>
      </c>
      <c r="E103" s="17">
        <f t="shared" si="16"/>
        <v>0.18254629629629629</v>
      </c>
      <c r="F103" s="17">
        <f t="shared" si="17"/>
        <v>7.6817129629629624E-2</v>
      </c>
      <c r="G103">
        <f t="shared" si="18"/>
        <v>60</v>
      </c>
      <c r="H103" s="11">
        <f t="shared" si="19"/>
        <v>0.50483838451717</v>
      </c>
    </row>
    <row r="104" spans="1:8">
      <c r="A104" s="5" t="s">
        <v>956</v>
      </c>
      <c r="B104" s="5">
        <v>1008614</v>
      </c>
      <c r="C104" t="s">
        <v>1104</v>
      </c>
      <c r="D104" s="17">
        <f t="shared" si="15"/>
        <v>0.34423611111111113</v>
      </c>
      <c r="E104" s="17">
        <f t="shared" si="16"/>
        <v>0.18436342592592592</v>
      </c>
      <c r="F104" s="17">
        <f t="shared" si="17"/>
        <v>6.7326388888888894E-2</v>
      </c>
      <c r="G104">
        <f t="shared" si="18"/>
        <v>61</v>
      </c>
      <c r="H104" s="11">
        <f t="shared" si="19"/>
        <v>0.52390558805729304</v>
      </c>
    </row>
    <row r="105" spans="1:8">
      <c r="A105" s="5" t="s">
        <v>957</v>
      </c>
      <c r="B105" s="5">
        <v>1008615</v>
      </c>
      <c r="C105" t="s">
        <v>1105</v>
      </c>
      <c r="D105" s="17">
        <f t="shared" si="15"/>
        <v>0.34479166666666666</v>
      </c>
      <c r="E105" s="17">
        <f t="shared" si="16"/>
        <v>0.10450231481481481</v>
      </c>
      <c r="F105" s="17">
        <f t="shared" si="17"/>
        <v>0.21383101851851852</v>
      </c>
      <c r="G105">
        <f t="shared" si="18"/>
        <v>62</v>
      </c>
      <c r="H105" s="11">
        <f t="shared" si="19"/>
        <v>0.25444780127559602</v>
      </c>
    </row>
    <row r="106" spans="1:8">
      <c r="A106" s="5" t="s">
        <v>958</v>
      </c>
      <c r="B106" s="5">
        <v>1008616</v>
      </c>
      <c r="C106" t="s">
        <v>1106</v>
      </c>
      <c r="D106" s="17">
        <f t="shared" si="15"/>
        <v>0.33458333333333334</v>
      </c>
      <c r="E106" s="17">
        <f t="shared" si="16"/>
        <v>0.20292824074074073</v>
      </c>
      <c r="F106" s="17">
        <f t="shared" si="17"/>
        <v>5.0925925925925923E-2</v>
      </c>
      <c r="G106">
        <f t="shared" si="18"/>
        <v>63</v>
      </c>
      <c r="H106" s="11">
        <f t="shared" si="19"/>
        <v>0.55517503805174995</v>
      </c>
    </row>
    <row r="107" spans="1:8">
      <c r="A107" s="5" t="s">
        <v>959</v>
      </c>
      <c r="B107" s="5">
        <v>1008617</v>
      </c>
      <c r="C107" t="s">
        <v>1107</v>
      </c>
      <c r="D107" s="17">
        <f t="shared" si="15"/>
        <v>0.34524305555555557</v>
      </c>
      <c r="E107" s="17" t="e">
        <f t="shared" si="16"/>
        <v>#VALUE!</v>
      </c>
      <c r="F107" s="17">
        <f t="shared" si="17"/>
        <v>0.34513888888888888</v>
      </c>
      <c r="G107">
        <f t="shared" si="18"/>
        <v>64</v>
      </c>
      <c r="H107" s="11">
        <f t="shared" si="19"/>
        <v>0</v>
      </c>
    </row>
    <row r="108" spans="1:8">
      <c r="A108" s="5" t="s">
        <v>960</v>
      </c>
      <c r="B108" s="5">
        <v>1008618</v>
      </c>
      <c r="C108" t="s">
        <v>1108</v>
      </c>
      <c r="D108" s="17">
        <f t="shared" si="15"/>
        <v>0.34424768518518517</v>
      </c>
      <c r="E108" s="17">
        <f t="shared" si="16"/>
        <v>0.17256944444444444</v>
      </c>
      <c r="F108" s="17">
        <f t="shared" si="17"/>
        <v>9.0462962962962967E-2</v>
      </c>
      <c r="G108">
        <f t="shared" si="18"/>
        <v>65</v>
      </c>
      <c r="H108" s="11">
        <f t="shared" si="19"/>
        <v>0.477120667047709</v>
      </c>
    </row>
    <row r="109" spans="1:8">
      <c r="A109" s="5" t="s">
        <v>961</v>
      </c>
      <c r="B109" s="5">
        <v>1008619</v>
      </c>
      <c r="C109" t="s">
        <v>1109</v>
      </c>
      <c r="D109" s="17">
        <f t="shared" si="15"/>
        <v>0.35488425925925926</v>
      </c>
      <c r="E109" s="17">
        <f t="shared" si="16"/>
        <v>0.2330787037037037</v>
      </c>
      <c r="F109" s="17">
        <f t="shared" si="17"/>
        <v>3.7349537037037035E-2</v>
      </c>
      <c r="G109">
        <f t="shared" si="18"/>
        <v>66</v>
      </c>
      <c r="H109" s="11">
        <f t="shared" si="19"/>
        <v>0.61917030852521004</v>
      </c>
    </row>
    <row r="110" spans="1:8">
      <c r="A110" s="5" t="s">
        <v>962</v>
      </c>
      <c r="B110" s="5">
        <v>1008620</v>
      </c>
      <c r="C110" t="s">
        <v>1110</v>
      </c>
      <c r="D110" s="17">
        <f t="shared" si="15"/>
        <v>0.33346064814814813</v>
      </c>
      <c r="E110" s="17">
        <f t="shared" si="16"/>
        <v>0.2029050925925926</v>
      </c>
      <c r="F110" s="17">
        <f t="shared" si="17"/>
        <v>4.8194444444444443E-2</v>
      </c>
      <c r="G110">
        <f t="shared" si="18"/>
        <v>67</v>
      </c>
      <c r="H110" s="11">
        <f t="shared" si="19"/>
        <v>0.55305265350039901</v>
      </c>
    </row>
    <row r="111" spans="1:8">
      <c r="A111" s="5" t="s">
        <v>963</v>
      </c>
      <c r="B111" s="5">
        <v>1008621</v>
      </c>
      <c r="C111" t="s">
        <v>1111</v>
      </c>
      <c r="D111" s="17">
        <f t="shared" si="15"/>
        <v>0.34430555555555553</v>
      </c>
      <c r="E111" s="17">
        <f t="shared" si="16"/>
        <v>0.20876157407407409</v>
      </c>
      <c r="F111" s="17">
        <f t="shared" si="17"/>
        <v>4.7685185185185185E-2</v>
      </c>
      <c r="G111">
        <f t="shared" si="18"/>
        <v>68</v>
      </c>
      <c r="H111" s="11">
        <f t="shared" si="19"/>
        <v>0.56195374478956595</v>
      </c>
    </row>
    <row r="112" spans="1:8">
      <c r="A112" s="5" t="s">
        <v>964</v>
      </c>
      <c r="B112" s="5">
        <v>1008622</v>
      </c>
      <c r="C112" t="s">
        <v>1112</v>
      </c>
      <c r="D112" s="17">
        <f t="shared" si="15"/>
        <v>0.34439814814814818</v>
      </c>
      <c r="E112" s="17">
        <f t="shared" si="16"/>
        <v>0.19284722222222223</v>
      </c>
      <c r="F112" s="17">
        <f t="shared" si="17"/>
        <v>8.2974537037037041E-2</v>
      </c>
      <c r="G112">
        <f t="shared" si="18"/>
        <v>69</v>
      </c>
      <c r="H112" s="11">
        <f t="shared" si="19"/>
        <v>0.48780077967468699</v>
      </c>
    </row>
    <row r="113" spans="1:8">
      <c r="A113" s="5" t="s">
        <v>965</v>
      </c>
      <c r="B113" s="5">
        <v>1008623</v>
      </c>
      <c r="C113" t="s">
        <v>1113</v>
      </c>
      <c r="D113" s="17">
        <f t="shared" si="15"/>
        <v>0.34435185185185185</v>
      </c>
      <c r="E113" s="17">
        <f t="shared" si="16"/>
        <v>0.20849537037037036</v>
      </c>
      <c r="F113" s="17">
        <f t="shared" si="17"/>
        <v>4.8414351851851854E-2</v>
      </c>
      <c r="G113">
        <f t="shared" si="18"/>
        <v>70</v>
      </c>
      <c r="H113" s="11">
        <f t="shared" si="19"/>
        <v>0.55414762032804499</v>
      </c>
    </row>
    <row r="114" spans="1:8">
      <c r="A114" s="5" t="s">
        <v>966</v>
      </c>
      <c r="B114" s="5">
        <v>1008624</v>
      </c>
      <c r="C114" t="s">
        <v>1114</v>
      </c>
      <c r="D114" s="17">
        <f t="shared" si="15"/>
        <v>0.33491898148148147</v>
      </c>
      <c r="E114" s="17">
        <f t="shared" si="16"/>
        <v>0.21258101851851852</v>
      </c>
      <c r="F114" s="17">
        <f t="shared" si="17"/>
        <v>4.8784722222222222E-2</v>
      </c>
      <c r="G114">
        <f t="shared" si="18"/>
        <v>71</v>
      </c>
      <c r="H114" s="11">
        <f t="shared" si="19"/>
        <v>0.58651553374572396</v>
      </c>
    </row>
    <row r="115" spans="1:8">
      <c r="A115" s="5" t="s">
        <v>967</v>
      </c>
      <c r="B115" s="5">
        <v>1008625</v>
      </c>
      <c r="C115" t="s">
        <v>1115</v>
      </c>
      <c r="D115" s="17">
        <f t="shared" si="15"/>
        <v>0.34442129629629631</v>
      </c>
      <c r="E115" s="17">
        <f t="shared" si="16"/>
        <v>0.22203703703703703</v>
      </c>
      <c r="F115" s="17">
        <f t="shared" si="17"/>
        <v>5.1342592592592592E-2</v>
      </c>
      <c r="G115">
        <f t="shared" si="18"/>
        <v>72</v>
      </c>
      <c r="H115" s="11">
        <f t="shared" si="19"/>
        <v>0.58165871362322696</v>
      </c>
    </row>
    <row r="116" spans="1:8">
      <c r="A116" s="5" t="s">
        <v>968</v>
      </c>
      <c r="B116" s="5">
        <v>1008626</v>
      </c>
      <c r="C116" t="s">
        <v>1006</v>
      </c>
      <c r="D116" s="17">
        <f t="shared" si="15"/>
        <v>0.33370370370370372</v>
      </c>
      <c r="E116" s="17">
        <f t="shared" si="16"/>
        <v>0.21053240740740742</v>
      </c>
      <c r="F116" s="17">
        <f t="shared" si="17"/>
        <v>4.8472222222222222E-2</v>
      </c>
      <c r="G116">
        <f t="shared" si="18"/>
        <v>73</v>
      </c>
      <c r="H116" s="11">
        <f t="shared" si="19"/>
        <v>0.59073251942286398</v>
      </c>
    </row>
    <row r="117" spans="1:8">
      <c r="A117" s="5" t="s">
        <v>969</v>
      </c>
      <c r="B117" s="5">
        <v>1008627</v>
      </c>
      <c r="C117" t="s">
        <v>1006</v>
      </c>
      <c r="D117" s="17">
        <f t="shared" si="15"/>
        <v>0.34518518518518521</v>
      </c>
      <c r="E117" s="17">
        <f t="shared" si="16"/>
        <v>0.21524305555555556</v>
      </c>
      <c r="F117" s="17">
        <f t="shared" si="17"/>
        <v>4.9282407407407407E-2</v>
      </c>
      <c r="G117">
        <f t="shared" si="18"/>
        <v>74</v>
      </c>
      <c r="H117" s="11">
        <f t="shared" si="19"/>
        <v>0.58640692060085797</v>
      </c>
    </row>
    <row r="118" spans="1:8">
      <c r="A118" s="5" t="s">
        <v>970</v>
      </c>
      <c r="B118" s="5">
        <v>1008628</v>
      </c>
      <c r="C118" t="s">
        <v>1006</v>
      </c>
      <c r="D118" s="17">
        <f t="shared" si="15"/>
        <v>0.3354050925925926</v>
      </c>
      <c r="E118" s="17">
        <f t="shared" si="16"/>
        <v>0.19744212962962962</v>
      </c>
      <c r="F118" s="17">
        <f t="shared" si="17"/>
        <v>5.0011574074074076E-2</v>
      </c>
      <c r="G118">
        <f t="shared" si="18"/>
        <v>75</v>
      </c>
      <c r="H118" s="11">
        <f t="shared" si="19"/>
        <v>0.54653369681493502</v>
      </c>
    </row>
    <row r="119" spans="1:8">
      <c r="A119" s="5" t="s">
        <v>971</v>
      </c>
      <c r="B119" s="5">
        <v>1008629</v>
      </c>
      <c r="C119" t="s">
        <v>1116</v>
      </c>
      <c r="D119" s="17">
        <f t="shared" si="15"/>
        <v>0.33627314814814813</v>
      </c>
      <c r="E119" s="17">
        <f t="shared" si="16"/>
        <v>0.18991898148148148</v>
      </c>
      <c r="F119" s="17">
        <f t="shared" si="17"/>
        <v>6.4317129629629627E-2</v>
      </c>
      <c r="G119">
        <f t="shared" si="18"/>
        <v>76</v>
      </c>
      <c r="H119" s="11">
        <f t="shared" si="19"/>
        <v>0.53238796723342696</v>
      </c>
    </row>
    <row r="120" spans="1:8">
      <c r="A120" s="5" t="s">
        <v>972</v>
      </c>
      <c r="B120" s="5">
        <v>1008630</v>
      </c>
      <c r="C120" t="s">
        <v>1117</v>
      </c>
      <c r="D120" s="17">
        <f t="shared" si="15"/>
        <v>0.33471064814814816</v>
      </c>
      <c r="E120" s="17">
        <f t="shared" si="16"/>
        <v>0.18868055555555555</v>
      </c>
      <c r="F120" s="17">
        <f t="shared" si="17"/>
        <v>7.3344907407407414E-2</v>
      </c>
      <c r="G120">
        <f t="shared" si="18"/>
        <v>77</v>
      </c>
      <c r="H120" s="11">
        <f t="shared" si="19"/>
        <v>0.47020989660776702</v>
      </c>
    </row>
    <row r="121" spans="1:8">
      <c r="A121" s="5" t="s">
        <v>973</v>
      </c>
      <c r="B121" s="5">
        <v>1008631</v>
      </c>
      <c r="C121" t="s">
        <v>1118</v>
      </c>
      <c r="D121" s="17">
        <f t="shared" si="15"/>
        <v>0.33974537037037039</v>
      </c>
      <c r="E121" s="17">
        <f t="shared" si="16"/>
        <v>0.20261574074074074</v>
      </c>
      <c r="F121" s="17">
        <f t="shared" si="17"/>
        <v>4.7754629629629633E-2</v>
      </c>
      <c r="G121">
        <f t="shared" si="18"/>
        <v>78</v>
      </c>
      <c r="H121" s="11">
        <f t="shared" si="19"/>
        <v>0.54633099407235797</v>
      </c>
    </row>
    <row r="122" spans="1:8">
      <c r="A122" s="5" t="s">
        <v>974</v>
      </c>
      <c r="B122" s="5">
        <v>1008632</v>
      </c>
      <c r="C122" t="s">
        <v>1119</v>
      </c>
      <c r="D122" s="17">
        <f t="shared" si="15"/>
        <v>0.34557870370370369</v>
      </c>
      <c r="E122" s="17">
        <f t="shared" si="16"/>
        <v>0.14315972222222223</v>
      </c>
      <c r="F122" s="17">
        <f t="shared" si="17"/>
        <v>0.15493055555555554</v>
      </c>
      <c r="G122">
        <f t="shared" si="18"/>
        <v>79</v>
      </c>
      <c r="H122" s="11">
        <f t="shared" si="19"/>
        <v>0.38820416638756799</v>
      </c>
    </row>
    <row r="123" spans="1:8">
      <c r="A123" s="5" t="s">
        <v>975</v>
      </c>
      <c r="B123" s="5">
        <v>1008633</v>
      </c>
      <c r="C123" t="s">
        <v>1120</v>
      </c>
      <c r="D123" s="17">
        <f t="shared" si="15"/>
        <v>0.33189814814814816</v>
      </c>
      <c r="E123" s="17">
        <f t="shared" si="16"/>
        <v>0.1439236111111111</v>
      </c>
      <c r="F123" s="17">
        <f t="shared" si="17"/>
        <v>0.13547453703703705</v>
      </c>
      <c r="G123">
        <f t="shared" si="18"/>
        <v>80</v>
      </c>
      <c r="H123" s="11">
        <f t="shared" si="19"/>
        <v>0.40277584042404802</v>
      </c>
    </row>
    <row r="124" spans="1:8">
      <c r="A124" s="5" t="s">
        <v>976</v>
      </c>
      <c r="B124" s="5">
        <v>1008634</v>
      </c>
      <c r="C124" t="s">
        <v>1121</v>
      </c>
      <c r="D124" s="17">
        <f t="shared" si="15"/>
        <v>0.34369212962962964</v>
      </c>
      <c r="E124" s="17">
        <f t="shared" si="16"/>
        <v>0.22164351851851852</v>
      </c>
      <c r="F124" s="17">
        <f t="shared" si="17"/>
        <v>4.8599537037037038E-2</v>
      </c>
      <c r="G124">
        <f t="shared" si="18"/>
        <v>81</v>
      </c>
      <c r="H124" s="11">
        <f t="shared" si="19"/>
        <v>0.54352584610203702</v>
      </c>
    </row>
    <row r="125" spans="1:8">
      <c r="A125" s="5" t="s">
        <v>977</v>
      </c>
      <c r="B125" s="5">
        <v>1008635</v>
      </c>
      <c r="C125" t="s">
        <v>1122</v>
      </c>
      <c r="D125" s="17">
        <f t="shared" si="15"/>
        <v>0.3548263888888889</v>
      </c>
      <c r="E125" s="17">
        <f t="shared" si="16"/>
        <v>0.15355324074074075</v>
      </c>
      <c r="F125" s="17">
        <f t="shared" si="17"/>
        <v>3.8645833333333331E-2</v>
      </c>
      <c r="G125">
        <f t="shared" si="18"/>
        <v>82</v>
      </c>
      <c r="H125" s="11">
        <f t="shared" si="19"/>
        <v>0.28371986821932998</v>
      </c>
    </row>
    <row r="126" spans="1:8">
      <c r="A126" s="5" t="s">
        <v>978</v>
      </c>
      <c r="B126" s="5">
        <v>1008636</v>
      </c>
      <c r="C126" t="s">
        <v>1123</v>
      </c>
      <c r="D126" s="17">
        <f t="shared" si="15"/>
        <v>0.36775462962962963</v>
      </c>
      <c r="E126" s="17">
        <f t="shared" si="16"/>
        <v>0.21557870370370372</v>
      </c>
      <c r="F126" s="17">
        <f t="shared" si="17"/>
        <v>7.048611111111111E-2</v>
      </c>
      <c r="G126">
        <f t="shared" si="18"/>
        <v>83</v>
      </c>
      <c r="H126" s="11">
        <f t="shared" si="19"/>
        <v>0.56196890539434796</v>
      </c>
    </row>
    <row r="127" spans="1:8">
      <c r="A127" s="5" t="s">
        <v>979</v>
      </c>
      <c r="B127" s="5">
        <v>1008637</v>
      </c>
      <c r="C127" t="s">
        <v>1124</v>
      </c>
      <c r="D127" s="17">
        <f t="shared" si="15"/>
        <v>0.35119212962962965</v>
      </c>
      <c r="E127" s="17">
        <f t="shared" si="16"/>
        <v>0.15380787037037036</v>
      </c>
      <c r="F127" s="17">
        <f t="shared" si="17"/>
        <v>0.14153935185185185</v>
      </c>
      <c r="G127">
        <f t="shared" si="18"/>
        <v>84</v>
      </c>
      <c r="H127" s="11">
        <f t="shared" si="19"/>
        <v>0.40332201825791802</v>
      </c>
    </row>
    <row r="128" spans="1:8">
      <c r="A128" s="5" t="s">
        <v>980</v>
      </c>
      <c r="B128" s="5">
        <v>1008638</v>
      </c>
      <c r="C128" t="s">
        <v>1125</v>
      </c>
      <c r="D128" s="17">
        <f t="shared" si="15"/>
        <v>0.34143518518518517</v>
      </c>
      <c r="E128" s="17">
        <f t="shared" si="16"/>
        <v>0.17545138888888889</v>
      </c>
      <c r="F128" s="17">
        <f t="shared" si="17"/>
        <v>9.5694444444444443E-2</v>
      </c>
      <c r="G128">
        <f t="shared" si="18"/>
        <v>85</v>
      </c>
      <c r="H128" s="11">
        <f t="shared" si="19"/>
        <v>0.43796610169491501</v>
      </c>
    </row>
    <row r="129" spans="1:8">
      <c r="A129" s="5" t="s">
        <v>981</v>
      </c>
      <c r="B129" s="5">
        <v>1008639</v>
      </c>
      <c r="C129" t="s">
        <v>1126</v>
      </c>
      <c r="D129" s="17">
        <f t="shared" si="15"/>
        <v>0.34533564814814816</v>
      </c>
      <c r="E129" s="17">
        <f t="shared" si="16"/>
        <v>0.20476851851851852</v>
      </c>
      <c r="F129" s="17">
        <f t="shared" si="17"/>
        <v>5.5231481481481479E-2</v>
      </c>
      <c r="G129">
        <f t="shared" si="18"/>
        <v>86</v>
      </c>
      <c r="H129" s="11">
        <f t="shared" si="19"/>
        <v>0.55581995508931903</v>
      </c>
    </row>
    <row r="130" spans="1:8">
      <c r="A130" s="5" t="s">
        <v>982</v>
      </c>
      <c r="B130" s="5">
        <v>1008640</v>
      </c>
      <c r="C130" t="s">
        <v>1127</v>
      </c>
      <c r="D130" s="17">
        <f t="shared" ref="D130:D150" si="20">TIMEVALUE(VLOOKUP(A130,effD,2,0))</f>
        <v>0.34416666666666668</v>
      </c>
      <c r="E130" s="17">
        <f t="shared" ref="E130:E150" si="21">TIMEVALUE(VLOOKUP(A130,effD,3,0))</f>
        <v>0.12054398148148149</v>
      </c>
      <c r="F130" s="17">
        <f t="shared" ref="F130:F150" si="22">TIMEVALUE(VLOOKUP(A130,breakD,9,0))</f>
        <v>0.19140046296296295</v>
      </c>
      <c r="G130">
        <f t="shared" ref="G130:G150" si="23">VLOOKUP(A130,effD,4,0)</f>
        <v>87</v>
      </c>
      <c r="H130" s="11">
        <f t="shared" ref="H130:H150" si="24">VLOOKUP(A130,effD,6,0)</f>
        <v>0.326035781544256</v>
      </c>
    </row>
    <row r="131" spans="1:8">
      <c r="A131" s="5" t="s">
        <v>983</v>
      </c>
      <c r="B131" s="5">
        <v>1008641</v>
      </c>
      <c r="C131" t="s">
        <v>1128</v>
      </c>
      <c r="D131" s="17">
        <f t="shared" si="20"/>
        <v>0.33975694444444443</v>
      </c>
      <c r="E131" s="17">
        <f t="shared" si="21"/>
        <v>0.21278935185185185</v>
      </c>
      <c r="F131" s="17">
        <f t="shared" si="22"/>
        <v>4.8506944444444443E-2</v>
      </c>
      <c r="G131">
        <f t="shared" si="23"/>
        <v>88</v>
      </c>
      <c r="H131" s="11">
        <f t="shared" si="24"/>
        <v>0.57404190086867701</v>
      </c>
    </row>
    <row r="132" spans="1:8">
      <c r="A132" s="5" t="s">
        <v>984</v>
      </c>
      <c r="B132" s="5">
        <v>1008642</v>
      </c>
      <c r="C132" t="s">
        <v>1129</v>
      </c>
      <c r="D132" s="17">
        <f t="shared" si="20"/>
        <v>0.33380787037037035</v>
      </c>
      <c r="E132" s="17">
        <f t="shared" si="21"/>
        <v>0.1744212962962963</v>
      </c>
      <c r="F132" s="17">
        <f t="shared" si="22"/>
        <v>8.1423611111111113E-2</v>
      </c>
      <c r="G132">
        <f t="shared" si="23"/>
        <v>89</v>
      </c>
      <c r="H132" s="11">
        <f t="shared" si="24"/>
        <v>0.45359037481363301</v>
      </c>
    </row>
    <row r="133" spans="1:8">
      <c r="A133" s="5" t="s">
        <v>985</v>
      </c>
      <c r="B133" s="5">
        <v>1008643</v>
      </c>
      <c r="C133" t="s">
        <v>1130</v>
      </c>
      <c r="D133" s="17">
        <f t="shared" si="20"/>
        <v>0.34012731481481484</v>
      </c>
      <c r="E133" s="17">
        <f t="shared" si="21"/>
        <v>0.11028935185185185</v>
      </c>
      <c r="F133" s="17">
        <f t="shared" si="22"/>
        <v>0.19189814814814815</v>
      </c>
      <c r="G133">
        <f t="shared" si="23"/>
        <v>90</v>
      </c>
      <c r="H133" s="11">
        <f t="shared" si="24"/>
        <v>0.29689998979140397</v>
      </c>
    </row>
    <row r="134" spans="1:8">
      <c r="A134" s="5" t="s">
        <v>986</v>
      </c>
      <c r="B134" s="5">
        <v>1008644</v>
      </c>
      <c r="C134" t="s">
        <v>1131</v>
      </c>
      <c r="D134" s="17">
        <f t="shared" si="20"/>
        <v>0.33354166666666668</v>
      </c>
      <c r="E134" s="17">
        <f t="shared" si="21"/>
        <v>0.19138888888888889</v>
      </c>
      <c r="F134" s="17">
        <f t="shared" si="22"/>
        <v>5.1666666666666666E-2</v>
      </c>
      <c r="G134">
        <f t="shared" si="23"/>
        <v>91</v>
      </c>
      <c r="H134" s="11">
        <f t="shared" si="24"/>
        <v>0.55729058227496697</v>
      </c>
    </row>
    <row r="135" spans="1:8">
      <c r="A135" s="5" t="s">
        <v>987</v>
      </c>
      <c r="B135" s="5">
        <v>1008645</v>
      </c>
      <c r="C135" t="s">
        <v>1007</v>
      </c>
      <c r="D135" s="17">
        <f t="shared" si="20"/>
        <v>0.3357175925925926</v>
      </c>
      <c r="E135" s="17">
        <f t="shared" si="21"/>
        <v>0.12403935185185185</v>
      </c>
      <c r="F135" s="17">
        <f t="shared" si="22"/>
        <v>0.1645486111111111</v>
      </c>
      <c r="G135">
        <f t="shared" si="23"/>
        <v>92</v>
      </c>
      <c r="H135" s="11">
        <f t="shared" si="24"/>
        <v>0.33279321519685601</v>
      </c>
    </row>
    <row r="136" spans="1:8">
      <c r="A136" s="5" t="s">
        <v>988</v>
      </c>
      <c r="B136" s="5">
        <v>1008646</v>
      </c>
      <c r="C136" t="s">
        <v>1007</v>
      </c>
      <c r="D136" s="17">
        <f t="shared" si="20"/>
        <v>0.33687499999999998</v>
      </c>
      <c r="E136" s="17">
        <f t="shared" si="21"/>
        <v>0.17017361111111112</v>
      </c>
      <c r="F136" s="17">
        <f t="shared" si="22"/>
        <v>9.5034722222222229E-2</v>
      </c>
      <c r="G136">
        <f t="shared" si="23"/>
        <v>93</v>
      </c>
      <c r="H136" s="11">
        <f t="shared" si="24"/>
        <v>0.472308115165258</v>
      </c>
    </row>
    <row r="137" spans="1:8">
      <c r="A137" s="5" t="s">
        <v>989</v>
      </c>
      <c r="B137" s="5">
        <v>1008647</v>
      </c>
      <c r="C137" t="s">
        <v>1132</v>
      </c>
      <c r="D137" s="17">
        <f t="shared" si="20"/>
        <v>0.33709490740740738</v>
      </c>
      <c r="E137" s="17">
        <f t="shared" si="21"/>
        <v>0.18885416666666666</v>
      </c>
      <c r="F137" s="17">
        <f t="shared" si="22"/>
        <v>8.7997685185185179E-2</v>
      </c>
      <c r="G137">
        <f t="shared" si="23"/>
        <v>94</v>
      </c>
      <c r="H137" s="11">
        <f t="shared" si="24"/>
        <v>0.51110729613733896</v>
      </c>
    </row>
    <row r="138" spans="1:8">
      <c r="A138" s="5" t="s">
        <v>990</v>
      </c>
      <c r="B138" s="5">
        <v>1008648</v>
      </c>
      <c r="C138" t="s">
        <v>1133</v>
      </c>
      <c r="D138" s="17">
        <f t="shared" si="20"/>
        <v>0.34307870370370369</v>
      </c>
      <c r="E138" s="17">
        <f t="shared" si="21"/>
        <v>0.22166666666666668</v>
      </c>
      <c r="F138" s="17">
        <f t="shared" si="22"/>
        <v>4.7395833333333331E-2</v>
      </c>
      <c r="G138">
        <f t="shared" si="23"/>
        <v>95</v>
      </c>
      <c r="H138" s="11">
        <f t="shared" si="24"/>
        <v>0.58886040078267299</v>
      </c>
    </row>
    <row r="139" spans="1:8">
      <c r="A139" s="5" t="s">
        <v>991</v>
      </c>
      <c r="B139" s="5">
        <v>1008649</v>
      </c>
      <c r="C139" t="s">
        <v>1134</v>
      </c>
      <c r="D139" s="17">
        <f t="shared" si="20"/>
        <v>0.31192129629629628</v>
      </c>
      <c r="E139" s="17">
        <f t="shared" si="21"/>
        <v>0.12112268518518518</v>
      </c>
      <c r="F139" s="17">
        <f t="shared" si="22"/>
        <v>0.1575462962962963</v>
      </c>
      <c r="G139">
        <f t="shared" si="23"/>
        <v>96</v>
      </c>
      <c r="H139" s="11">
        <f t="shared" si="24"/>
        <v>0.34289424860853401</v>
      </c>
    </row>
    <row r="140" spans="1:8">
      <c r="A140" s="5" t="s">
        <v>992</v>
      </c>
      <c r="B140" s="5">
        <v>1008650</v>
      </c>
      <c r="C140" t="s">
        <v>1135</v>
      </c>
      <c r="D140" s="17">
        <f t="shared" si="20"/>
        <v>0.3568634259259259</v>
      </c>
      <c r="E140" s="17">
        <f t="shared" si="21"/>
        <v>0.19224537037037037</v>
      </c>
      <c r="F140" s="17">
        <f t="shared" si="22"/>
        <v>9.5196759259259259E-2</v>
      </c>
      <c r="G140">
        <f t="shared" si="23"/>
        <v>97</v>
      </c>
      <c r="H140" s="11">
        <f t="shared" si="24"/>
        <v>0.497486459313074</v>
      </c>
    </row>
    <row r="141" spans="1:8">
      <c r="A141" s="5" t="s">
        <v>993</v>
      </c>
      <c r="B141" s="5">
        <v>1008651</v>
      </c>
      <c r="C141" t="s">
        <v>1136</v>
      </c>
      <c r="D141" s="17">
        <f t="shared" si="20"/>
        <v>0.34392361111111114</v>
      </c>
      <c r="E141" s="17">
        <f t="shared" si="21"/>
        <v>0.20146990740740742</v>
      </c>
      <c r="F141" s="17">
        <f t="shared" si="22"/>
        <v>4.8854166666666664E-2</v>
      </c>
      <c r="G141">
        <f t="shared" si="23"/>
        <v>98</v>
      </c>
      <c r="H141" s="11">
        <f t="shared" si="24"/>
        <v>0.52431431936732298</v>
      </c>
    </row>
    <row r="142" spans="1:8">
      <c r="A142" s="5" t="s">
        <v>994</v>
      </c>
      <c r="B142" s="5">
        <v>1008652</v>
      </c>
      <c r="C142" t="s">
        <v>1137</v>
      </c>
      <c r="D142" s="17">
        <f t="shared" si="20"/>
        <v>0.34658564814814813</v>
      </c>
      <c r="E142" s="17">
        <f t="shared" si="21"/>
        <v>0.12475694444444445</v>
      </c>
      <c r="F142" s="17">
        <f t="shared" si="22"/>
        <v>0.18931712962962963</v>
      </c>
      <c r="G142">
        <f t="shared" si="23"/>
        <v>99</v>
      </c>
      <c r="H142" s="11">
        <f t="shared" si="24"/>
        <v>0.31066956086157999</v>
      </c>
    </row>
    <row r="143" spans="1:8">
      <c r="A143" s="5" t="s">
        <v>995</v>
      </c>
      <c r="B143" s="5">
        <v>1008653</v>
      </c>
      <c r="C143" t="s">
        <v>1138</v>
      </c>
      <c r="D143" s="17">
        <f t="shared" si="20"/>
        <v>0.34281250000000002</v>
      </c>
      <c r="E143" s="17">
        <f t="shared" si="21"/>
        <v>0.22505787037037037</v>
      </c>
      <c r="F143" s="17">
        <f t="shared" si="22"/>
        <v>5.1898148148148152E-2</v>
      </c>
      <c r="G143">
        <f t="shared" si="23"/>
        <v>100</v>
      </c>
      <c r="H143" s="11">
        <f t="shared" si="24"/>
        <v>0.58462473412336702</v>
      </c>
    </row>
    <row r="144" spans="1:8">
      <c r="A144" s="5" t="s">
        <v>996</v>
      </c>
      <c r="B144" s="5">
        <v>1008654</v>
      </c>
      <c r="C144" t="s">
        <v>1139</v>
      </c>
      <c r="D144" s="17">
        <f t="shared" si="20"/>
        <v>0.35055555555555556</v>
      </c>
      <c r="E144" s="17">
        <f t="shared" si="21"/>
        <v>0.11953703703703704</v>
      </c>
      <c r="F144" s="17">
        <f t="shared" si="22"/>
        <v>0.21081018518518518</v>
      </c>
      <c r="G144">
        <f t="shared" si="23"/>
        <v>101</v>
      </c>
      <c r="H144" s="11">
        <f t="shared" si="24"/>
        <v>0.31685816164817698</v>
      </c>
    </row>
    <row r="145" spans="1:8">
      <c r="A145" s="5" t="s">
        <v>997</v>
      </c>
      <c r="B145" s="5">
        <v>1008655</v>
      </c>
      <c r="C145" t="s">
        <v>1140</v>
      </c>
      <c r="D145" s="17">
        <f t="shared" si="20"/>
        <v>0.34575231481481483</v>
      </c>
      <c r="E145" s="17">
        <f t="shared" si="21"/>
        <v>0.20268518518518519</v>
      </c>
      <c r="F145" s="17">
        <f t="shared" si="22"/>
        <v>5.0046296296296297E-2</v>
      </c>
      <c r="G145">
        <f t="shared" si="23"/>
        <v>102</v>
      </c>
      <c r="H145" s="11">
        <f t="shared" si="24"/>
        <v>0.56375322197301903</v>
      </c>
    </row>
    <row r="146" spans="1:8">
      <c r="A146" s="5" t="s">
        <v>998</v>
      </c>
      <c r="B146" s="5">
        <v>1008656</v>
      </c>
      <c r="C146" t="s">
        <v>1141</v>
      </c>
      <c r="D146" s="17">
        <f t="shared" si="20"/>
        <v>0.35479166666666667</v>
      </c>
      <c r="E146" s="17">
        <f t="shared" si="21"/>
        <v>0.21916666666666668</v>
      </c>
      <c r="F146" s="17">
        <f t="shared" si="22"/>
        <v>3.8946759259259257E-2</v>
      </c>
      <c r="G146">
        <f t="shared" si="23"/>
        <v>103</v>
      </c>
      <c r="H146" s="11">
        <f t="shared" si="24"/>
        <v>0.54779147908918902</v>
      </c>
    </row>
    <row r="147" spans="1:8">
      <c r="A147" s="5" t="s">
        <v>999</v>
      </c>
      <c r="B147" s="5">
        <v>1008657</v>
      </c>
      <c r="C147" t="s">
        <v>1142</v>
      </c>
      <c r="D147" s="17">
        <f t="shared" si="20"/>
        <v>0.36542824074074076</v>
      </c>
      <c r="E147" s="17">
        <f t="shared" si="21"/>
        <v>0.15059027777777778</v>
      </c>
      <c r="F147" s="17">
        <f t="shared" si="22"/>
        <v>0.16840277777777779</v>
      </c>
      <c r="G147">
        <f t="shared" si="23"/>
        <v>104</v>
      </c>
      <c r="H147" s="11">
        <f t="shared" si="24"/>
        <v>0.37965983593576802</v>
      </c>
    </row>
    <row r="148" spans="1:8">
      <c r="A148" s="5" t="s">
        <v>1000</v>
      </c>
      <c r="B148" s="5">
        <v>1008658</v>
      </c>
      <c r="C148" t="s">
        <v>1143</v>
      </c>
      <c r="D148" s="17">
        <f t="shared" si="20"/>
        <v>0.34370370370370368</v>
      </c>
      <c r="E148" s="17">
        <f t="shared" si="21"/>
        <v>0.21891203703703704</v>
      </c>
      <c r="F148" s="17">
        <f t="shared" si="22"/>
        <v>5.0127314814814812E-2</v>
      </c>
      <c r="G148">
        <f t="shared" si="23"/>
        <v>105</v>
      </c>
      <c r="H148" s="11">
        <f t="shared" si="24"/>
        <v>0.56529498922413801</v>
      </c>
    </row>
    <row r="149" spans="1:8">
      <c r="A149" s="5" t="s">
        <v>1001</v>
      </c>
      <c r="B149" s="5">
        <v>1008659</v>
      </c>
      <c r="C149" t="s">
        <v>1144</v>
      </c>
      <c r="D149" s="17">
        <f t="shared" si="20"/>
        <v>0.20827546296296295</v>
      </c>
      <c r="E149" s="17">
        <f t="shared" si="21"/>
        <v>0.1310300925925926</v>
      </c>
      <c r="F149" s="17">
        <f t="shared" si="22"/>
        <v>1.0451388888888889E-2</v>
      </c>
      <c r="G149">
        <f t="shared" si="23"/>
        <v>106</v>
      </c>
      <c r="H149" s="11">
        <f t="shared" si="24"/>
        <v>0.60261183662128404</v>
      </c>
    </row>
    <row r="150" spans="1:8">
      <c r="A150" s="5" t="s">
        <v>1002</v>
      </c>
      <c r="B150" s="5">
        <v>1008660</v>
      </c>
      <c r="C150" t="s">
        <v>1145</v>
      </c>
      <c r="D150" s="17">
        <f t="shared" si="20"/>
        <v>0.35688657407407409</v>
      </c>
      <c r="E150" s="17">
        <f t="shared" si="21"/>
        <v>0.19362268518518519</v>
      </c>
      <c r="F150" s="17">
        <f t="shared" si="22"/>
        <v>9.5034722222222229E-2</v>
      </c>
      <c r="G150">
        <f t="shared" si="23"/>
        <v>107</v>
      </c>
      <c r="H150" s="11">
        <f t="shared" si="24"/>
        <v>0.49813523593319298</v>
      </c>
    </row>
  </sheetData>
  <pageMargins left="0.7" right="0.7" top="0.75" bottom="0.75" header="0.3" footer="0.3"/>
  <pageSetup orientation="portrait" r:id="rId1"/>
  <ignoredErrors>
    <ignoredError sqref="D2:D150 E1:E150 F2:F150 G2:G150 H2 H3:H150" emptyCellReferenc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>
    <pageSetUpPr fitToPage="1"/>
  </sheetPr>
  <dimension ref="A1:H23"/>
  <sheetViews>
    <sheetView tabSelected="1" topLeftCell="C1" zoomScale="102" zoomScaleNormal="160" workbookViewId="0">
      <selection sqref="A1:B1048576"/>
    </sheetView>
  </sheetViews>
  <sheetFormatPr defaultRowHeight="14.4" outlineLevelCol="1"/>
  <cols>
    <col min="1" max="1" width="0" hidden="1" customWidth="1" outlineLevel="1"/>
    <col min="2" max="2" width="13.33203125" hidden="1" customWidth="1" outlineLevel="1"/>
    <col min="3" max="3" width="3.6640625" customWidth="1" collapsed="1"/>
    <col min="4" max="4" width="13.5546875" customWidth="1"/>
    <col min="5" max="5" width="31.88671875" bestFit="1" customWidth="1"/>
    <col min="6" max="6" width="5.21875" customWidth="1"/>
    <col min="7" max="7" width="19.21875" customWidth="1"/>
    <col min="8" max="8" width="28.109375" customWidth="1"/>
  </cols>
  <sheetData>
    <row r="1" spans="3:8">
      <c r="C1" s="23" t="s">
        <v>1152</v>
      </c>
      <c r="D1" s="22" t="s">
        <v>1151</v>
      </c>
      <c r="E1" s="22"/>
      <c r="F1" s="22"/>
      <c r="G1" s="22"/>
      <c r="H1" s="22"/>
    </row>
    <row r="2" spans="3:8">
      <c r="C2" s="23"/>
      <c r="D2" s="22"/>
      <c r="E2" s="22"/>
      <c r="F2" s="22"/>
      <c r="G2" s="22"/>
      <c r="H2" s="22"/>
    </row>
    <row r="3" spans="3:8">
      <c r="C3" s="23"/>
      <c r="D3" s="22"/>
      <c r="E3" s="22"/>
      <c r="F3" s="22"/>
      <c r="G3" s="22"/>
      <c r="H3" s="22"/>
    </row>
    <row r="4" spans="3:8">
      <c r="C4" s="23"/>
      <c r="D4" s="22"/>
      <c r="E4" s="22"/>
      <c r="F4" s="22"/>
      <c r="G4" s="22"/>
      <c r="H4" s="22"/>
    </row>
    <row r="5" spans="3:8">
      <c r="C5" s="23"/>
      <c r="D5" s="22"/>
      <c r="E5" s="22"/>
      <c r="F5" s="22"/>
      <c r="G5" s="22"/>
      <c r="H5" s="22"/>
    </row>
    <row r="6" spans="3:8">
      <c r="C6" s="23"/>
      <c r="D6" s="14"/>
      <c r="E6" s="14"/>
      <c r="F6" s="19">
        <v>5</v>
      </c>
      <c r="G6" s="14"/>
      <c r="H6" s="14"/>
    </row>
    <row r="7" spans="3:8">
      <c r="C7" s="23"/>
      <c r="D7" s="14"/>
      <c r="E7" s="14"/>
      <c r="F7" s="20">
        <v>4</v>
      </c>
      <c r="G7" s="14"/>
      <c r="H7" s="14"/>
    </row>
    <row r="8" spans="3:8" ht="18" customHeight="1">
      <c r="C8" s="23"/>
      <c r="D8" s="21" t="s">
        <v>1009</v>
      </c>
      <c r="E8" s="21"/>
      <c r="F8" s="24"/>
      <c r="G8" s="21" t="s">
        <v>1150</v>
      </c>
      <c r="H8" s="21"/>
    </row>
    <row r="9" spans="3:8">
      <c r="C9" s="23"/>
      <c r="D9" s="14" t="s">
        <v>1149</v>
      </c>
      <c r="E9" s="14" t="s">
        <v>1008</v>
      </c>
      <c r="F9" s="25"/>
      <c r="G9" s="12" t="s">
        <v>1148</v>
      </c>
      <c r="H9" s="14" t="s">
        <v>1010</v>
      </c>
    </row>
    <row r="10" spans="3:8">
      <c r="C10" s="23"/>
      <c r="D10" s="13" t="s">
        <v>1003</v>
      </c>
      <c r="E10" s="17">
        <v>1.3668402777777779</v>
      </c>
      <c r="F10" s="25"/>
      <c r="G10" s="13">
        <v>1008517</v>
      </c>
      <c r="H10" s="15">
        <v>0.65495030262646503</v>
      </c>
    </row>
    <row r="11" spans="3:8">
      <c r="C11" s="23"/>
      <c r="D11" s="13" t="s">
        <v>1004</v>
      </c>
      <c r="E11" s="17">
        <v>0.66396990740740747</v>
      </c>
      <c r="F11" s="25"/>
      <c r="G11" s="13">
        <v>1008537</v>
      </c>
      <c r="H11" s="15">
        <v>0.65029060203969702</v>
      </c>
    </row>
    <row r="12" spans="3:8">
      <c r="C12" s="23"/>
      <c r="D12" s="13" t="s">
        <v>1005</v>
      </c>
      <c r="E12" s="17">
        <v>0.67937500000000006</v>
      </c>
      <c r="F12" s="25"/>
      <c r="G12" s="13">
        <v>1008554</v>
      </c>
      <c r="H12" s="15">
        <v>0.64380836602751801</v>
      </c>
    </row>
    <row r="13" spans="3:8">
      <c r="C13" s="23"/>
      <c r="D13" s="13" t="s">
        <v>1006</v>
      </c>
      <c r="E13" s="17">
        <v>1.0142939814814815</v>
      </c>
      <c r="F13" s="25"/>
      <c r="G13" s="13">
        <v>1008556</v>
      </c>
      <c r="H13" s="15">
        <v>0.64717479317021698</v>
      </c>
    </row>
    <row r="14" spans="3:8">
      <c r="C14" s="23"/>
      <c r="D14" s="13" t="s">
        <v>1007</v>
      </c>
      <c r="E14" s="17">
        <v>0.67259259259259263</v>
      </c>
      <c r="F14" s="25"/>
    </row>
    <row r="15" spans="3:8">
      <c r="C15" s="23"/>
      <c r="F15" s="25"/>
    </row>
    <row r="16" spans="3:8">
      <c r="C16" s="23"/>
      <c r="F16" s="25"/>
    </row>
    <row r="17" spans="3:6">
      <c r="C17" s="23"/>
      <c r="F17" s="25"/>
    </row>
    <row r="18" spans="3:6">
      <c r="C18" s="23"/>
      <c r="F18" s="25"/>
    </row>
    <row r="19" spans="3:6">
      <c r="C19" s="23"/>
      <c r="F19" s="25"/>
    </row>
    <row r="20" spans="3:6">
      <c r="C20" s="23"/>
      <c r="F20" s="25"/>
    </row>
    <row r="21" spans="3:6">
      <c r="C21" s="23"/>
      <c r="F21" s="25"/>
    </row>
    <row r="22" spans="3:6">
      <c r="C22" s="23"/>
      <c r="F22" s="25"/>
    </row>
    <row r="23" spans="3:6">
      <c r="F23" s="25"/>
    </row>
  </sheetData>
  <mergeCells count="5">
    <mergeCell ref="D8:E8"/>
    <mergeCell ref="G8:H8"/>
    <mergeCell ref="D1:H5"/>
    <mergeCell ref="C1:C22"/>
    <mergeCell ref="F8:F23"/>
  </mergeCells>
  <pageMargins left="1" right="1" top="1" bottom="1" header="0.5" footer="0.5"/>
  <pageSetup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Spinner 2">
              <controlPr defaultSize="0" autoPict="0" macro="[0]!Spinner1_Code">
                <anchor moveWithCells="1" sizeWithCells="1">
                  <from>
                    <xdr:col>4</xdr:col>
                    <xdr:colOff>1950720</xdr:colOff>
                    <xdr:row>14</xdr:row>
                    <xdr:rowOff>68580</xdr:rowOff>
                  </from>
                  <to>
                    <xdr:col>4</xdr:col>
                    <xdr:colOff>2087880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7" name="Spinner 1">
              <controlPr defaultSize="0" autoPict="0" macro="[0]!Spinner1_Code">
                <anchor moveWithCells="1" sizeWithCells="1">
                  <from>
                    <xdr:col>4</xdr:col>
                    <xdr:colOff>708660</xdr:colOff>
                    <xdr:row>5</xdr:row>
                    <xdr:rowOff>53340</xdr:rowOff>
                  </from>
                  <to>
                    <xdr:col>4</xdr:col>
                    <xdr:colOff>845820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Spinner 8">
              <controlPr defaultSize="0" autoPict="0" macro="[0]!Spinner8_Code">
                <anchor moveWithCells="1" sizeWithCells="1">
                  <from>
                    <xdr:col>7</xdr:col>
                    <xdr:colOff>411480</xdr:colOff>
                    <xdr:row>5</xdr:row>
                    <xdr:rowOff>45720</xdr:rowOff>
                  </from>
                  <to>
                    <xdr:col>7</xdr:col>
                    <xdr:colOff>548640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Spinner 9">
              <controlPr defaultSize="0" autoPict="0" macro="[0]!Spinner8_Code">
                <anchor moveWithCells="1" sizeWithCells="1">
                  <from>
                    <xdr:col>7</xdr:col>
                    <xdr:colOff>1668780</xdr:colOff>
                    <xdr:row>14</xdr:row>
                    <xdr:rowOff>76200</xdr:rowOff>
                  </from>
                  <to>
                    <xdr:col>7</xdr:col>
                    <xdr:colOff>1805940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breakD</vt:lpstr>
      <vt:lpstr>effD</vt:lpstr>
      <vt:lpstr>performD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Lucky Soni</cp:lastModifiedBy>
  <cp:lastPrinted>2025-06-08T10:51:06Z</cp:lastPrinted>
  <dcterms:created xsi:type="dcterms:W3CDTF">2022-05-04T01:32:35Z</dcterms:created>
  <dcterms:modified xsi:type="dcterms:W3CDTF">2025-07-02T10:12:55Z</dcterms:modified>
</cp:coreProperties>
</file>